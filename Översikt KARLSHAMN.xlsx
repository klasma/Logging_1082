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57800-2022</t>
        </is>
      </c>
      <c r="B2" s="1" t="n">
        <v>44897</v>
      </c>
      <c r="C2" s="1" t="n">
        <v>46203</v>
      </c>
      <c r="D2" t="inlineStr">
        <is>
          <t>BLEKINGE LÄN</t>
        </is>
      </c>
      <c r="E2" t="inlineStr">
        <is>
          <t>KARLSHAMN</t>
        </is>
      </c>
      <c r="G2" t="n">
        <v>4.7</v>
      </c>
      <c r="H2" t="n">
        <v>2</v>
      </c>
      <c r="I2" t="n">
        <v>0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7</v>
      </c>
      <c r="R2" s="2" t="inlineStr">
        <is>
          <t>Ask
Småvänderot
Jungfrulin
Sommarfibbla
Svinrot
Fläcknycklar
Gullviva</t>
        </is>
      </c>
      <c r="S2">
        <f>HYPERLINK("https://klasma.github.io/Logging_1082/artfynd/A 57800-2022 artfynd.xlsx", "A 57800-2022")</f>
        <v/>
      </c>
      <c r="T2">
        <f>HYPERLINK("https://klasma.github.io/Logging_1082/kartor/A 57800-2022 karta.png", "A 57800-2022")</f>
        <v/>
      </c>
      <c r="V2">
        <f>HYPERLINK("https://klasma.github.io/Logging_1082/klagomål/A 57800-2022 FSC-klagomål.docx", "A 57800-2022")</f>
        <v/>
      </c>
      <c r="W2">
        <f>HYPERLINK("https://klasma.github.io/Logging_1082/klagomålsmail/A 57800-2022 FSC-klagomål mail.docx", "A 57800-2022")</f>
        <v/>
      </c>
      <c r="X2">
        <f>HYPERLINK("https://klasma.github.io/Logging_1082/tillsyn/A 57800-2022 tillsynsbegäran.docx", "A 57800-2022")</f>
        <v/>
      </c>
      <c r="Y2">
        <f>HYPERLINK("https://klasma.github.io/Logging_1082/tillsynsmail/A 57800-2022 tillsynsbegäran mail.docx", "A 57800-2022")</f>
        <v/>
      </c>
    </row>
    <row r="3" ht="15" customHeight="1">
      <c r="A3" t="inlineStr">
        <is>
          <t>A 21911-2026</t>
        </is>
      </c>
      <c r="B3" s="1" t="n">
        <v>46150</v>
      </c>
      <c r="C3" s="1" t="n">
        <v>46203</v>
      </c>
      <c r="D3" t="inlineStr">
        <is>
          <t>BLEKINGE LÄN</t>
        </is>
      </c>
      <c r="E3" t="inlineStr">
        <is>
          <t>KARLSHAMN</t>
        </is>
      </c>
      <c r="G3" t="n">
        <v>6.5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Liten stinksvamp
Lömsk flugsvamp
Murgröna
Myskmadra
Rutkremla
Blåsippa</t>
        </is>
      </c>
      <c r="S3">
        <f>HYPERLINK("https://klasma.github.io/Logging_1082/artfynd/A 21911-2026 artfynd.xlsx", "A 21911-2026")</f>
        <v/>
      </c>
      <c r="T3">
        <f>HYPERLINK("https://klasma.github.io/Logging_1082/kartor/A 21911-2026 karta.png", "A 21911-2026")</f>
        <v/>
      </c>
      <c r="V3">
        <f>HYPERLINK("https://klasma.github.io/Logging_1082/klagomål/A 21911-2026 FSC-klagomål.docx", "A 21911-2026")</f>
        <v/>
      </c>
      <c r="W3">
        <f>HYPERLINK("https://klasma.github.io/Logging_1082/klagomålsmail/A 21911-2026 FSC-klagomål mail.docx", "A 21911-2026")</f>
        <v/>
      </c>
      <c r="X3">
        <f>HYPERLINK("https://klasma.github.io/Logging_1082/tillsyn/A 21911-2026 tillsynsbegäran.docx", "A 21911-2026")</f>
        <v/>
      </c>
      <c r="Y3">
        <f>HYPERLINK("https://klasma.github.io/Logging_1082/tillsynsmail/A 21911-2026 tillsynsbegäran mail.docx", "A 21911-2026")</f>
        <v/>
      </c>
    </row>
    <row r="4" ht="15" customHeight="1">
      <c r="A4" t="inlineStr">
        <is>
          <t>A 40701-2023</t>
        </is>
      </c>
      <c r="B4" s="1" t="n">
        <v>45170</v>
      </c>
      <c r="C4" s="1" t="n">
        <v>46203</v>
      </c>
      <c r="D4" t="inlineStr">
        <is>
          <t>BLEKINGE LÄN</t>
        </is>
      </c>
      <c r="E4" t="inlineStr">
        <is>
          <t>KARLSHAMN</t>
        </is>
      </c>
      <c r="G4" t="n">
        <v>3.3</v>
      </c>
      <c r="H4" t="n">
        <v>0</v>
      </c>
      <c r="I4" t="n">
        <v>2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Ask
Gammelekslav
Oxtungssvamp
Skuggorangelav
Grå skärelav
Platt fjädermossa</t>
        </is>
      </c>
      <c r="S4">
        <f>HYPERLINK("https://klasma.github.io/Logging_1082/artfynd/A 40701-2023 artfynd.xlsx", "A 40701-2023")</f>
        <v/>
      </c>
      <c r="T4">
        <f>HYPERLINK("https://klasma.github.io/Logging_1082/kartor/A 40701-2023 karta.png", "A 40701-2023")</f>
        <v/>
      </c>
      <c r="V4">
        <f>HYPERLINK("https://klasma.github.io/Logging_1082/klagomål/A 40701-2023 FSC-klagomål.docx", "A 40701-2023")</f>
        <v/>
      </c>
      <c r="W4">
        <f>HYPERLINK("https://klasma.github.io/Logging_1082/klagomålsmail/A 40701-2023 FSC-klagomål mail.docx", "A 40701-2023")</f>
        <v/>
      </c>
      <c r="X4">
        <f>HYPERLINK("https://klasma.github.io/Logging_1082/tillsyn/A 40701-2023 tillsynsbegäran.docx", "A 40701-2023")</f>
        <v/>
      </c>
      <c r="Y4">
        <f>HYPERLINK("https://klasma.github.io/Logging_1082/tillsynsmail/A 40701-2023 tillsynsbegäran mail.docx", "A 40701-2023")</f>
        <v/>
      </c>
    </row>
    <row r="5" ht="15" customHeight="1">
      <c r="A5" t="inlineStr">
        <is>
          <t>A 2368-2024</t>
        </is>
      </c>
      <c r="B5" s="1" t="n">
        <v>45310</v>
      </c>
      <c r="C5" s="1" t="n">
        <v>46203</v>
      </c>
      <c r="D5" t="inlineStr">
        <is>
          <t>BLEKINGE LÄN</t>
        </is>
      </c>
      <c r="E5" t="inlineStr">
        <is>
          <t>KARLSHAMN</t>
        </is>
      </c>
      <c r="F5" t="inlineStr">
        <is>
          <t>Kommuner</t>
        </is>
      </c>
      <c r="G5" t="n">
        <v>7.9</v>
      </c>
      <c r="H5" t="n">
        <v>2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Sandödla
Vitfläckig guldvinge
Guldlockmossa
Klippfrullania
Skogsduva</t>
        </is>
      </c>
      <c r="S5">
        <f>HYPERLINK("https://klasma.github.io/Logging_1082/artfynd/A 2368-2024 artfynd.xlsx", "A 2368-2024")</f>
        <v/>
      </c>
      <c r="T5">
        <f>HYPERLINK("https://klasma.github.io/Logging_1082/kartor/A 2368-2024 karta.png", "A 2368-2024")</f>
        <v/>
      </c>
      <c r="V5">
        <f>HYPERLINK("https://klasma.github.io/Logging_1082/klagomål/A 2368-2024 FSC-klagomål.docx", "A 2368-2024")</f>
        <v/>
      </c>
      <c r="W5">
        <f>HYPERLINK("https://klasma.github.io/Logging_1082/klagomålsmail/A 2368-2024 FSC-klagomål mail.docx", "A 2368-2024")</f>
        <v/>
      </c>
      <c r="X5">
        <f>HYPERLINK("https://klasma.github.io/Logging_1082/tillsyn/A 2368-2024 tillsynsbegäran.docx", "A 2368-2024")</f>
        <v/>
      </c>
      <c r="Y5">
        <f>HYPERLINK("https://klasma.github.io/Logging_1082/tillsynsmail/A 2368-2024 tillsynsbegäran mail.docx", "A 2368-2024")</f>
        <v/>
      </c>
    </row>
    <row r="6" ht="15" customHeight="1">
      <c r="A6" t="inlineStr">
        <is>
          <t>A 11819-2024</t>
        </is>
      </c>
      <c r="B6" s="1" t="n">
        <v>45376</v>
      </c>
      <c r="C6" s="1" t="n">
        <v>46203</v>
      </c>
      <c r="D6" t="inlineStr">
        <is>
          <t>BLEKINGE LÄN</t>
        </is>
      </c>
      <c r="E6" t="inlineStr">
        <is>
          <t>KARLSHAMN</t>
        </is>
      </c>
      <c r="G6" t="n">
        <v>2.4</v>
      </c>
      <c r="H6" t="n">
        <v>0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Småvänderot
Lunglav
Ängsmetallvinge
Lönnlav
Platt fjädermossa</t>
        </is>
      </c>
      <c r="S6">
        <f>HYPERLINK("https://klasma.github.io/Logging_1082/artfynd/A 11819-2024 artfynd.xlsx", "A 11819-2024")</f>
        <v/>
      </c>
      <c r="T6">
        <f>HYPERLINK("https://klasma.github.io/Logging_1082/kartor/A 11819-2024 karta.png", "A 11819-2024")</f>
        <v/>
      </c>
      <c r="V6">
        <f>HYPERLINK("https://klasma.github.io/Logging_1082/klagomål/A 11819-2024 FSC-klagomål.docx", "A 11819-2024")</f>
        <v/>
      </c>
      <c r="W6">
        <f>HYPERLINK("https://klasma.github.io/Logging_1082/klagomålsmail/A 11819-2024 FSC-klagomål mail.docx", "A 11819-2024")</f>
        <v/>
      </c>
      <c r="X6">
        <f>HYPERLINK("https://klasma.github.io/Logging_1082/tillsyn/A 11819-2024 tillsynsbegäran.docx", "A 11819-2024")</f>
        <v/>
      </c>
      <c r="Y6">
        <f>HYPERLINK("https://klasma.github.io/Logging_1082/tillsynsmail/A 11819-2024 tillsynsbegäran mail.docx", "A 11819-2024")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46203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26616-2026</t>
        </is>
      </c>
      <c r="B8" s="1" t="n">
        <v>46184</v>
      </c>
      <c r="C8" s="1" t="n">
        <v>46203</v>
      </c>
      <c r="D8" t="inlineStr">
        <is>
          <t>BLEKINGE LÄN</t>
        </is>
      </c>
      <c r="E8" t="inlineStr">
        <is>
          <t>KARLSHAMN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Skogsalm
Skogsbräsma
Trädporella</t>
        </is>
      </c>
      <c r="S8">
        <f>HYPERLINK("https://klasma.github.io/Logging_1082/artfynd/A 26616-2026 artfynd.xlsx", "A 26616-2026")</f>
        <v/>
      </c>
      <c r="T8">
        <f>HYPERLINK("https://klasma.github.io/Logging_1082/kartor/A 26616-2026 karta.png", "A 26616-2026")</f>
        <v/>
      </c>
      <c r="V8">
        <f>HYPERLINK("https://klasma.github.io/Logging_1082/klagomål/A 26616-2026 FSC-klagomål.docx", "A 26616-2026")</f>
        <v/>
      </c>
      <c r="W8">
        <f>HYPERLINK("https://klasma.github.io/Logging_1082/klagomålsmail/A 26616-2026 FSC-klagomål mail.docx", "A 26616-2026")</f>
        <v/>
      </c>
      <c r="X8">
        <f>HYPERLINK("https://klasma.github.io/Logging_1082/tillsyn/A 26616-2026 tillsynsbegäran.docx", "A 26616-2026")</f>
        <v/>
      </c>
      <c r="Y8">
        <f>HYPERLINK("https://klasma.github.io/Logging_1082/tillsynsmail/A 26616-2026 tillsynsbegäran mail.docx", "A 26616-2026")</f>
        <v/>
      </c>
    </row>
    <row r="9" ht="15" customHeight="1">
      <c r="A9" t="inlineStr">
        <is>
          <t>A 37115-2021</t>
        </is>
      </c>
      <c r="B9" s="1" t="n">
        <v>44395</v>
      </c>
      <c r="C9" s="1" t="n">
        <v>46203</v>
      </c>
      <c r="D9" t="inlineStr">
        <is>
          <t>BLEKINGE LÄN</t>
        </is>
      </c>
      <c r="E9" t="inlineStr">
        <is>
          <t>KARLSHAMN</t>
        </is>
      </c>
      <c r="G9" t="n">
        <v>16</v>
      </c>
      <c r="H9" t="n">
        <v>0</v>
      </c>
      <c r="I9" t="n">
        <v>1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Hållav
Pulverädellav
Havstulpanlav</t>
        </is>
      </c>
      <c r="S9">
        <f>HYPERLINK("https://klasma.github.io/Logging_1082/artfynd/A 37115-2021 artfynd.xlsx", "A 37115-2021")</f>
        <v/>
      </c>
      <c r="T9">
        <f>HYPERLINK("https://klasma.github.io/Logging_1082/kartor/A 37115-2021 karta.png", "A 37115-2021")</f>
        <v/>
      </c>
      <c r="V9">
        <f>HYPERLINK("https://klasma.github.io/Logging_1082/klagomål/A 37115-2021 FSC-klagomål.docx", "A 37115-2021")</f>
        <v/>
      </c>
      <c r="W9">
        <f>HYPERLINK("https://klasma.github.io/Logging_1082/klagomålsmail/A 37115-2021 FSC-klagomål mail.docx", "A 37115-2021")</f>
        <v/>
      </c>
      <c r="X9">
        <f>HYPERLINK("https://klasma.github.io/Logging_1082/tillsyn/A 37115-2021 tillsynsbegäran.docx", "A 37115-2021")</f>
        <v/>
      </c>
      <c r="Y9">
        <f>HYPERLINK("https://klasma.github.io/Logging_1082/tillsynsmail/A 37115-2021 tillsynsbegäran mail.docx", "A 37115-2021")</f>
        <v/>
      </c>
    </row>
    <row r="10" ht="15" customHeight="1">
      <c r="A10" t="inlineStr">
        <is>
          <t>A 10096-2022</t>
        </is>
      </c>
      <c r="B10" s="1" t="n">
        <v>44621</v>
      </c>
      <c r="C10" s="1" t="n">
        <v>46203</v>
      </c>
      <c r="D10" t="inlineStr">
        <is>
          <t>BLEKINGE LÄN</t>
        </is>
      </c>
      <c r="E10" t="inlineStr">
        <is>
          <t>KARLSHAMN</t>
        </is>
      </c>
      <c r="F10" t="inlineStr">
        <is>
          <t>Kommuner</t>
        </is>
      </c>
      <c r="G10" t="n">
        <v>4.8</v>
      </c>
      <c r="H10" t="n">
        <v>1</v>
      </c>
      <c r="I10" t="n">
        <v>1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2</v>
      </c>
      <c r="P10" t="n">
        <v>2</v>
      </c>
      <c r="Q10" t="n">
        <v>3</v>
      </c>
      <c r="R10" s="2" t="inlineStr">
        <is>
          <t>Stare
Ädellav
Gulpudrad spiklav</t>
        </is>
      </c>
      <c r="S10">
        <f>HYPERLINK("https://klasma.github.io/Logging_1082/artfynd/A 10096-2022 artfynd.xlsx", "A 10096-2022")</f>
        <v/>
      </c>
      <c r="T10">
        <f>HYPERLINK("https://klasma.github.io/Logging_1082/kartor/A 10096-2022 karta.png", "A 10096-2022")</f>
        <v/>
      </c>
      <c r="V10">
        <f>HYPERLINK("https://klasma.github.io/Logging_1082/klagomål/A 10096-2022 FSC-klagomål.docx", "A 10096-2022")</f>
        <v/>
      </c>
      <c r="W10">
        <f>HYPERLINK("https://klasma.github.io/Logging_1082/klagomålsmail/A 10096-2022 FSC-klagomål mail.docx", "A 10096-2022")</f>
        <v/>
      </c>
      <c r="X10">
        <f>HYPERLINK("https://klasma.github.io/Logging_1082/tillsyn/A 10096-2022 tillsynsbegäran.docx", "A 10096-2022")</f>
        <v/>
      </c>
      <c r="Y10">
        <f>HYPERLINK("https://klasma.github.io/Logging_1082/tillsynsmail/A 10096-2022 tillsynsbegäran mail.docx", "A 10096-2022")</f>
        <v/>
      </c>
      <c r="Z10">
        <f>HYPERLINK("https://klasma.github.io/Logging_1082/fåglar/A 10096-2022 prioriterade fågelarter.docx", "A 10096-2022")</f>
        <v/>
      </c>
    </row>
    <row r="11" ht="15" customHeight="1">
      <c r="A11" t="inlineStr">
        <is>
          <t>A 40310-2023</t>
        </is>
      </c>
      <c r="B11" s="1" t="n">
        <v>45169</v>
      </c>
      <c r="C11" s="1" t="n">
        <v>46203</v>
      </c>
      <c r="D11" t="inlineStr">
        <is>
          <t>BLEKINGE LÄN</t>
        </is>
      </c>
      <c r="E11" t="inlineStr">
        <is>
          <t>KARLSHAMN</t>
        </is>
      </c>
      <c r="G11" t="n">
        <v>3.9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Sydspärgel
Skogsknipprot</t>
        </is>
      </c>
      <c r="S11">
        <f>HYPERLINK("https://klasma.github.io/Logging_1082/artfynd/A 40310-2023 artfynd.xlsx", "A 40310-2023")</f>
        <v/>
      </c>
      <c r="T11">
        <f>HYPERLINK("https://klasma.github.io/Logging_1082/kartor/A 40310-2023 karta.png", "A 40310-2023")</f>
        <v/>
      </c>
      <c r="V11">
        <f>HYPERLINK("https://klasma.github.io/Logging_1082/klagomål/A 40310-2023 FSC-klagomål.docx", "A 40310-2023")</f>
        <v/>
      </c>
      <c r="W11">
        <f>HYPERLINK("https://klasma.github.io/Logging_1082/klagomålsmail/A 40310-2023 FSC-klagomål mail.docx", "A 40310-2023")</f>
        <v/>
      </c>
      <c r="X11">
        <f>HYPERLINK("https://klasma.github.io/Logging_1082/tillsyn/A 40310-2023 tillsynsbegäran.docx", "A 40310-2023")</f>
        <v/>
      </c>
      <c r="Y11">
        <f>HYPERLINK("https://klasma.github.io/Logging_1082/tillsynsmail/A 40310-2023 tillsynsbegäran mail.docx", "A 40310-2023")</f>
        <v/>
      </c>
    </row>
    <row r="12" ht="15" customHeight="1">
      <c r="A12" t="inlineStr">
        <is>
          <t>A 16893-2023</t>
        </is>
      </c>
      <c r="B12" s="1" t="n">
        <v>45028</v>
      </c>
      <c r="C12" s="1" t="n">
        <v>46203</v>
      </c>
      <c r="D12" t="inlineStr">
        <is>
          <t>BLEKINGE LÄN</t>
        </is>
      </c>
      <c r="E12" t="inlineStr">
        <is>
          <t>KARLSHAMN</t>
        </is>
      </c>
      <c r="G12" t="n">
        <v>10.7</v>
      </c>
      <c r="H12" t="n">
        <v>0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Stortimjan
Flikros</t>
        </is>
      </c>
      <c r="S12">
        <f>HYPERLINK("https://klasma.github.io/Logging_1082/artfynd/A 16893-2023 artfynd.xlsx", "A 16893-2023")</f>
        <v/>
      </c>
      <c r="T12">
        <f>HYPERLINK("https://klasma.github.io/Logging_1082/kartor/A 16893-2023 karta.png", "A 16893-2023")</f>
        <v/>
      </c>
      <c r="V12">
        <f>HYPERLINK("https://klasma.github.io/Logging_1082/klagomål/A 16893-2023 FSC-klagomål.docx", "A 16893-2023")</f>
        <v/>
      </c>
      <c r="W12">
        <f>HYPERLINK("https://klasma.github.io/Logging_1082/klagomålsmail/A 16893-2023 FSC-klagomål mail.docx", "A 16893-2023")</f>
        <v/>
      </c>
      <c r="X12">
        <f>HYPERLINK("https://klasma.github.io/Logging_1082/tillsyn/A 16893-2023 tillsynsbegäran.docx", "A 16893-2023")</f>
        <v/>
      </c>
      <c r="Y12">
        <f>HYPERLINK("https://klasma.github.io/Logging_1082/tillsynsmail/A 16893-2023 tillsynsbegäran mail.docx", "A 16893-2023")</f>
        <v/>
      </c>
    </row>
    <row r="13" ht="15" customHeight="1">
      <c r="A13" t="inlineStr">
        <is>
          <t>A 5497-2022</t>
        </is>
      </c>
      <c r="B13" s="1" t="n">
        <v>44595</v>
      </c>
      <c r="C13" s="1" t="n">
        <v>46203</v>
      </c>
      <c r="D13" t="inlineStr">
        <is>
          <t>BLEKINGE LÄN</t>
        </is>
      </c>
      <c r="E13" t="inlineStr">
        <is>
          <t>KARLSHAMN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Ekoxe</t>
        </is>
      </c>
      <c r="S13">
        <f>HYPERLINK("https://klasma.github.io/Logging_1082/artfynd/A 5497-2022 artfynd.xlsx", "A 5497-2022")</f>
        <v/>
      </c>
      <c r="T13">
        <f>HYPERLINK("https://klasma.github.io/Logging_1082/kartor/A 5497-2022 karta.png", "A 5497-2022")</f>
        <v/>
      </c>
      <c r="V13">
        <f>HYPERLINK("https://klasma.github.io/Logging_1082/klagomål/A 5497-2022 FSC-klagomål.docx", "A 5497-2022")</f>
        <v/>
      </c>
      <c r="W13">
        <f>HYPERLINK("https://klasma.github.io/Logging_1082/klagomålsmail/A 5497-2022 FSC-klagomål mail.docx", "A 5497-2022")</f>
        <v/>
      </c>
      <c r="X13">
        <f>HYPERLINK("https://klasma.github.io/Logging_1082/tillsyn/A 5497-2022 tillsynsbegäran.docx", "A 5497-2022")</f>
        <v/>
      </c>
      <c r="Y13">
        <f>HYPERLINK("https://klasma.github.io/Logging_1082/tillsynsmail/A 5497-2022 tillsynsbegäran mail.docx", "A 5497-2022")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46203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33549-2023</t>
        </is>
      </c>
      <c r="B15" s="1" t="n">
        <v>45118</v>
      </c>
      <c r="C15" s="1" t="n">
        <v>46203</v>
      </c>
      <c r="D15" t="inlineStr">
        <is>
          <t>BLEKINGE LÄN</t>
        </is>
      </c>
      <c r="E15" t="inlineStr">
        <is>
          <t>KARLSHAMN</t>
        </is>
      </c>
      <c r="G15" t="n">
        <v>1.6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Fjällsopp</t>
        </is>
      </c>
      <c r="S15">
        <f>HYPERLINK("https://klasma.github.io/Logging_1082/artfynd/A 33549-2023 artfynd.xlsx", "A 33549-2023")</f>
        <v/>
      </c>
      <c r="T15">
        <f>HYPERLINK("https://klasma.github.io/Logging_1082/kartor/A 33549-2023 karta.png", "A 33549-2023")</f>
        <v/>
      </c>
      <c r="V15">
        <f>HYPERLINK("https://klasma.github.io/Logging_1082/klagomål/A 33549-2023 FSC-klagomål.docx", "A 33549-2023")</f>
        <v/>
      </c>
      <c r="W15">
        <f>HYPERLINK("https://klasma.github.io/Logging_1082/klagomålsmail/A 33549-2023 FSC-klagomål mail.docx", "A 33549-2023")</f>
        <v/>
      </c>
      <c r="X15">
        <f>HYPERLINK("https://klasma.github.io/Logging_1082/tillsyn/A 33549-2023 tillsynsbegäran.docx", "A 33549-2023")</f>
        <v/>
      </c>
      <c r="Y15">
        <f>HYPERLINK("https://klasma.github.io/Logging_1082/tillsynsmail/A 33549-2023 tillsynsbegäran mail.docx", "A 33549-2023")</f>
        <v/>
      </c>
    </row>
    <row r="16" ht="15" customHeight="1">
      <c r="A16" t="inlineStr">
        <is>
          <t>A 29904-2025</t>
        </is>
      </c>
      <c r="B16" s="1" t="n">
        <v>45826</v>
      </c>
      <c r="C16" s="1" t="n">
        <v>46203</v>
      </c>
      <c r="D16" t="inlineStr">
        <is>
          <t>BLEKINGE LÄN</t>
        </is>
      </c>
      <c r="E16" t="inlineStr">
        <is>
          <t>KARLSHAMN</t>
        </is>
      </c>
      <c r="F16" t="inlineStr">
        <is>
          <t>Sveaskog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Tjäder</t>
        </is>
      </c>
      <c r="S16">
        <f>HYPERLINK("https://klasma.github.io/Logging_1082/artfynd/A 29904-2025 artfynd.xlsx", "A 29904-2025")</f>
        <v/>
      </c>
      <c r="T16">
        <f>HYPERLINK("https://klasma.github.io/Logging_1082/kartor/A 29904-2025 karta.png", "A 29904-2025")</f>
        <v/>
      </c>
      <c r="V16">
        <f>HYPERLINK("https://klasma.github.io/Logging_1082/klagomål/A 29904-2025 FSC-klagomål.docx", "A 29904-2025")</f>
        <v/>
      </c>
      <c r="W16">
        <f>HYPERLINK("https://klasma.github.io/Logging_1082/klagomålsmail/A 29904-2025 FSC-klagomål mail.docx", "A 29904-2025")</f>
        <v/>
      </c>
      <c r="X16">
        <f>HYPERLINK("https://klasma.github.io/Logging_1082/tillsyn/A 29904-2025 tillsynsbegäran.docx", "A 29904-2025")</f>
        <v/>
      </c>
      <c r="Y16">
        <f>HYPERLINK("https://klasma.github.io/Logging_1082/tillsynsmail/A 29904-2025 tillsynsbegäran mail.docx", "A 29904-2025")</f>
        <v/>
      </c>
      <c r="Z16">
        <f>HYPERLINK("https://klasma.github.io/Logging_1082/fåglar/A 29904-2025 prioriterade fågelarter.docx", "A 29904-2025")</f>
        <v/>
      </c>
    </row>
    <row r="17" ht="15" customHeight="1">
      <c r="A17" t="inlineStr">
        <is>
          <t>A 2573-2023</t>
        </is>
      </c>
      <c r="B17" s="1" t="n">
        <v>44943</v>
      </c>
      <c r="C17" s="1" t="n">
        <v>46203</v>
      </c>
      <c r="D17" t="inlineStr">
        <is>
          <t>BLEKINGE LÄN</t>
        </is>
      </c>
      <c r="E17" t="inlineStr">
        <is>
          <t>KARLSHAMN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Lömsk flugsvamp</t>
        </is>
      </c>
      <c r="S17">
        <f>HYPERLINK("https://klasma.github.io/Logging_1082/artfynd/A 2573-2023 artfynd.xlsx", "A 2573-2023")</f>
        <v/>
      </c>
      <c r="T17">
        <f>HYPERLINK("https://klasma.github.io/Logging_1082/kartor/A 2573-2023 karta.png", "A 2573-2023")</f>
        <v/>
      </c>
      <c r="V17">
        <f>HYPERLINK("https://klasma.github.io/Logging_1082/klagomål/A 2573-2023 FSC-klagomål.docx", "A 2573-2023")</f>
        <v/>
      </c>
      <c r="W17">
        <f>HYPERLINK("https://klasma.github.io/Logging_1082/klagomålsmail/A 2573-2023 FSC-klagomål mail.docx", "A 2573-2023")</f>
        <v/>
      </c>
      <c r="X17">
        <f>HYPERLINK("https://klasma.github.io/Logging_1082/tillsyn/A 2573-2023 tillsynsbegäran.docx", "A 2573-2023")</f>
        <v/>
      </c>
      <c r="Y17">
        <f>HYPERLINK("https://klasma.github.io/Logging_1082/tillsynsmail/A 2573-2023 tillsynsbegäran mail.docx", "A 2573-2023")</f>
        <v/>
      </c>
    </row>
    <row r="18" ht="15" customHeight="1">
      <c r="A18" t="inlineStr">
        <is>
          <t>A 29000-2023</t>
        </is>
      </c>
      <c r="B18" s="1" t="n">
        <v>45104</v>
      </c>
      <c r="C18" s="1" t="n">
        <v>46203</v>
      </c>
      <c r="D18" t="inlineStr">
        <is>
          <t>BLEKINGE LÄN</t>
        </is>
      </c>
      <c r="E18" t="inlineStr">
        <is>
          <t>KARLSHAMN</t>
        </is>
      </c>
      <c r="G18" t="n">
        <v>2.2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HYPERLINK("https://klasma.github.io/Logging_1082/artfynd/A 29000-2023 artfynd.xlsx", "A 29000-2023")</f>
        <v/>
      </c>
      <c r="T18">
        <f>HYPERLINK("https://klasma.github.io/Logging_1082/kartor/A 29000-2023 karta.png", "A 29000-2023")</f>
        <v/>
      </c>
      <c r="V18">
        <f>HYPERLINK("https://klasma.github.io/Logging_1082/klagomål/A 29000-2023 FSC-klagomål.docx", "A 29000-2023")</f>
        <v/>
      </c>
      <c r="W18">
        <f>HYPERLINK("https://klasma.github.io/Logging_1082/klagomålsmail/A 29000-2023 FSC-klagomål mail.docx", "A 29000-2023")</f>
        <v/>
      </c>
      <c r="X18">
        <f>HYPERLINK("https://klasma.github.io/Logging_1082/tillsyn/A 29000-2023 tillsynsbegäran.docx", "A 29000-2023")</f>
        <v/>
      </c>
      <c r="Y18">
        <f>HYPERLINK("https://klasma.github.io/Logging_1082/tillsynsmail/A 29000-2023 tillsynsbegäran mail.docx", "A 29000-2023")</f>
        <v/>
      </c>
    </row>
    <row r="19" ht="15" customHeight="1">
      <c r="A19" t="inlineStr">
        <is>
          <t>A 21447-2025</t>
        </is>
      </c>
      <c r="B19" s="1" t="n">
        <v>45782</v>
      </c>
      <c r="C19" s="1" t="n">
        <v>46203</v>
      </c>
      <c r="D19" t="inlineStr">
        <is>
          <t>BLEKINGE LÄN</t>
        </is>
      </c>
      <c r="E19" t="inlineStr">
        <is>
          <t>KARLSHAMN</t>
        </is>
      </c>
      <c r="F19" t="inlineStr">
        <is>
          <t>Kommuner</t>
        </is>
      </c>
      <c r="G19" t="n">
        <v>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Igelkott</t>
        </is>
      </c>
      <c r="S19">
        <f>HYPERLINK("https://klasma.github.io/Logging_1082/artfynd/A 21447-2025 artfynd.xlsx", "A 21447-2025")</f>
        <v/>
      </c>
      <c r="T19">
        <f>HYPERLINK("https://klasma.github.io/Logging_1082/kartor/A 21447-2025 karta.png", "A 21447-2025")</f>
        <v/>
      </c>
      <c r="V19">
        <f>HYPERLINK("https://klasma.github.io/Logging_1082/klagomål/A 21447-2025 FSC-klagomål.docx", "A 21447-2025")</f>
        <v/>
      </c>
      <c r="W19">
        <f>HYPERLINK("https://klasma.github.io/Logging_1082/klagomålsmail/A 21447-2025 FSC-klagomål mail.docx", "A 21447-2025")</f>
        <v/>
      </c>
      <c r="X19">
        <f>HYPERLINK("https://klasma.github.io/Logging_1082/tillsyn/A 21447-2025 tillsynsbegäran.docx", "A 21447-2025")</f>
        <v/>
      </c>
      <c r="Y19">
        <f>HYPERLINK("https://klasma.github.io/Logging_1082/tillsynsmail/A 21447-2025 tillsynsbegäran mail.docx", "A 21447-2025")</f>
        <v/>
      </c>
    </row>
    <row r="20" ht="15" customHeight="1">
      <c r="A20" t="inlineStr">
        <is>
          <t>A 58405-2022</t>
        </is>
      </c>
      <c r="B20" s="1" t="n">
        <v>44901</v>
      </c>
      <c r="C20" s="1" t="n">
        <v>46203</v>
      </c>
      <c r="D20" t="inlineStr">
        <is>
          <t>BLEKINGE LÄN</t>
        </is>
      </c>
      <c r="E20" t="inlineStr">
        <is>
          <t>KARLSHAMN</t>
        </is>
      </c>
      <c r="F20" t="inlineStr">
        <is>
          <t>Kommuner</t>
        </is>
      </c>
      <c r="G20" t="n">
        <v>1.2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HYPERLINK("https://klasma.github.io/Logging_1082/artfynd/A 58405-2022 artfynd.xlsx", "A 58405-2022")</f>
        <v/>
      </c>
      <c r="T20">
        <f>HYPERLINK("https://klasma.github.io/Logging_1082/kartor/A 58405-2022 karta.png", "A 58405-2022")</f>
        <v/>
      </c>
      <c r="V20">
        <f>HYPERLINK("https://klasma.github.io/Logging_1082/klagomål/A 58405-2022 FSC-klagomål.docx", "A 58405-2022")</f>
        <v/>
      </c>
      <c r="W20">
        <f>HYPERLINK("https://klasma.github.io/Logging_1082/klagomålsmail/A 58405-2022 FSC-klagomål mail.docx", "A 58405-2022")</f>
        <v/>
      </c>
      <c r="X20">
        <f>HYPERLINK("https://klasma.github.io/Logging_1082/tillsyn/A 58405-2022 tillsynsbegäran.docx", "A 58405-2022")</f>
        <v/>
      </c>
      <c r="Y20">
        <f>HYPERLINK("https://klasma.github.io/Logging_1082/tillsynsmail/A 58405-2022 tillsynsbegäran mail.docx", "A 58405-2022")</f>
        <v/>
      </c>
      <c r="Z20">
        <f>HYPERLINK("https://klasma.github.io/Logging_1082/fåglar/A 58405-2022 prioriterade fågelarter.docx", "A 58405-2022")</f>
        <v/>
      </c>
    </row>
    <row r="21" ht="15" customHeight="1">
      <c r="A21" t="inlineStr">
        <is>
          <t>A 14598-2022</t>
        </is>
      </c>
      <c r="B21" s="1" t="n">
        <v>44655</v>
      </c>
      <c r="C21" s="1" t="n">
        <v>46203</v>
      </c>
      <c r="D21" t="inlineStr">
        <is>
          <t>BLEKINGE LÄN</t>
        </is>
      </c>
      <c r="E21" t="inlineStr">
        <is>
          <t>KARLSHAMN</t>
        </is>
      </c>
      <c r="G21" t="n">
        <v>1.9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HYPERLINK("https://klasma.github.io/Logging_1082/artfynd/A 14598-2022 artfynd.xlsx", "A 14598-2022")</f>
        <v/>
      </c>
      <c r="T21">
        <f>HYPERLINK("https://klasma.github.io/Logging_1082/kartor/A 14598-2022 karta.png", "A 14598-2022")</f>
        <v/>
      </c>
      <c r="V21">
        <f>HYPERLINK("https://klasma.github.io/Logging_1082/klagomål/A 14598-2022 FSC-klagomål.docx", "A 14598-2022")</f>
        <v/>
      </c>
      <c r="W21">
        <f>HYPERLINK("https://klasma.github.io/Logging_1082/klagomålsmail/A 14598-2022 FSC-klagomål mail.docx", "A 14598-2022")</f>
        <v/>
      </c>
      <c r="X21">
        <f>HYPERLINK("https://klasma.github.io/Logging_1082/tillsyn/A 14598-2022 tillsynsbegäran.docx", "A 14598-2022")</f>
        <v/>
      </c>
      <c r="Y21">
        <f>HYPERLINK("https://klasma.github.io/Logging_1082/tillsynsmail/A 14598-2022 tillsynsbegäran mail.docx", "A 14598-2022")</f>
        <v/>
      </c>
    </row>
    <row r="22" ht="15" customHeight="1">
      <c r="A22" t="inlineStr">
        <is>
          <t>A 49574-2022</t>
        </is>
      </c>
      <c r="B22" s="1" t="n">
        <v>44862</v>
      </c>
      <c r="C22" s="1" t="n">
        <v>46203</v>
      </c>
      <c r="D22" t="inlineStr">
        <is>
          <t>BLEKINGE LÄN</t>
        </is>
      </c>
      <c r="E22" t="inlineStr">
        <is>
          <t>KARLSHAMN</t>
        </is>
      </c>
      <c r="F22" t="inlineStr">
        <is>
          <t>Sveaskog</t>
        </is>
      </c>
      <c r="G22" t="n">
        <v>3.4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Utter</t>
        </is>
      </c>
      <c r="S22">
        <f>HYPERLINK("https://klasma.github.io/Logging_1082/artfynd/A 49574-2022 artfynd.xlsx", "A 49574-2022")</f>
        <v/>
      </c>
      <c r="T22">
        <f>HYPERLINK("https://klasma.github.io/Logging_1082/kartor/A 49574-2022 karta.png", "A 49574-2022")</f>
        <v/>
      </c>
      <c r="V22">
        <f>HYPERLINK("https://klasma.github.io/Logging_1082/klagomål/A 49574-2022 FSC-klagomål.docx", "A 49574-2022")</f>
        <v/>
      </c>
      <c r="W22">
        <f>HYPERLINK("https://klasma.github.io/Logging_1082/klagomålsmail/A 49574-2022 FSC-klagomål mail.docx", "A 49574-2022")</f>
        <v/>
      </c>
      <c r="X22">
        <f>HYPERLINK("https://klasma.github.io/Logging_1082/tillsyn/A 49574-2022 tillsynsbegäran.docx", "A 49574-2022")</f>
        <v/>
      </c>
      <c r="Y22">
        <f>HYPERLINK("https://klasma.github.io/Logging_1082/tillsynsmail/A 49574-2022 tillsynsbegäran mail.docx", "A 49574-2022")</f>
        <v/>
      </c>
    </row>
    <row r="23" ht="15" customHeight="1">
      <c r="A23" t="inlineStr">
        <is>
          <t>A 23902-2022</t>
        </is>
      </c>
      <c r="B23" s="1" t="n">
        <v>44722</v>
      </c>
      <c r="C23" s="1" t="n">
        <v>46203</v>
      </c>
      <c r="D23" t="inlineStr">
        <is>
          <t>BLEKINGE LÄN</t>
        </is>
      </c>
      <c r="E23" t="inlineStr">
        <is>
          <t>KARLSHAMN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17651-2022</t>
        </is>
      </c>
      <c r="B24" s="1" t="n">
        <v>44680</v>
      </c>
      <c r="C24" s="1" t="n">
        <v>46203</v>
      </c>
      <c r="D24" t="inlineStr">
        <is>
          <t>BLEKINGE LÄN</t>
        </is>
      </c>
      <c r="E24" t="inlineStr">
        <is>
          <t>KARLSHAMN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55697-2021</t>
        </is>
      </c>
      <c r="B25" s="1" t="n">
        <v>44476</v>
      </c>
      <c r="C25" s="1" t="n">
        <v>46203</v>
      </c>
      <c r="D25" t="inlineStr">
        <is>
          <t>BLEKINGE LÄN</t>
        </is>
      </c>
      <c r="E25" t="inlineStr">
        <is>
          <t>KARLSHAMN</t>
        </is>
      </c>
      <c r="G25" t="n">
        <v>3.6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38224-2022</t>
        </is>
      </c>
      <c r="B26" s="1" t="n">
        <v>44812</v>
      </c>
      <c r="C26" s="1" t="n">
        <v>46203</v>
      </c>
      <c r="D26" t="inlineStr">
        <is>
          <t>BLEKINGE LÄN</t>
        </is>
      </c>
      <c r="E26" t="inlineStr">
        <is>
          <t>KARLSHAMN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67972-2021</t>
        </is>
      </c>
      <c r="B27" s="1" t="n">
        <v>44525</v>
      </c>
      <c r="C27" s="1" t="n">
        <v>46203</v>
      </c>
      <c r="D27" t="inlineStr">
        <is>
          <t>BLEKINGE LÄN</t>
        </is>
      </c>
      <c r="E27" t="inlineStr">
        <is>
          <t>KARLSHAMN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2492-2022</t>
        </is>
      </c>
      <c r="B28" s="1" t="n">
        <v>44579</v>
      </c>
      <c r="C28" s="1" t="n">
        <v>46203</v>
      </c>
      <c r="D28" t="inlineStr">
        <is>
          <t>BLEKINGE LÄN</t>
        </is>
      </c>
      <c r="E28" t="inlineStr">
        <is>
          <t>KARLSHAMN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9-2022</t>
        </is>
      </c>
      <c r="B29" s="1" t="n">
        <v>44563</v>
      </c>
      <c r="C29" s="1" t="n">
        <v>46203</v>
      </c>
      <c r="D29" t="inlineStr">
        <is>
          <t>BLEKINGE LÄN</t>
        </is>
      </c>
      <c r="E29" t="inlineStr">
        <is>
          <t>KARLSHAMN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54151-2021</t>
        </is>
      </c>
      <c r="B30" s="1" t="n">
        <v>44470</v>
      </c>
      <c r="C30" s="1" t="n">
        <v>46203</v>
      </c>
      <c r="D30" t="inlineStr">
        <is>
          <t>BLEKINGE LÄN</t>
        </is>
      </c>
      <c r="E30" t="inlineStr">
        <is>
          <t>KARLSHAMN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64109-2021</t>
        </is>
      </c>
      <c r="B31" s="1" t="n">
        <v>44509</v>
      </c>
      <c r="C31" s="1" t="n">
        <v>46203</v>
      </c>
      <c r="D31" t="inlineStr">
        <is>
          <t>BLEKINGE LÄN</t>
        </is>
      </c>
      <c r="E31" t="inlineStr">
        <is>
          <t>KARLSHAMN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56370-2021</t>
        </is>
      </c>
      <c r="B32" s="1" t="n">
        <v>44480</v>
      </c>
      <c r="C32" s="1" t="n">
        <v>46203</v>
      </c>
      <c r="D32" t="inlineStr">
        <is>
          <t>BLEKINGE LÄN</t>
        </is>
      </c>
      <c r="E32" t="inlineStr">
        <is>
          <t>KARLSHAMN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43187-2022</t>
        </is>
      </c>
      <c r="B33" s="1" t="n">
        <v>44834</v>
      </c>
      <c r="C33" s="1" t="n">
        <v>46203</v>
      </c>
      <c r="D33" t="inlineStr">
        <is>
          <t>BLEKINGE LÄN</t>
        </is>
      </c>
      <c r="E33" t="inlineStr">
        <is>
          <t>KARLSHAMN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27409-2022</t>
        </is>
      </c>
      <c r="B34" s="1" t="n">
        <v>44742</v>
      </c>
      <c r="C34" s="1" t="n">
        <v>46203</v>
      </c>
      <c r="D34" t="inlineStr">
        <is>
          <t>BLEKINGE LÄN</t>
        </is>
      </c>
      <c r="E34" t="inlineStr">
        <is>
          <t>KARLSHAMN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2490-2022</t>
        </is>
      </c>
      <c r="B35" s="1" t="n">
        <v>44579</v>
      </c>
      <c r="C35" s="1" t="n">
        <v>46203</v>
      </c>
      <c r="D35" t="inlineStr">
        <is>
          <t>BLEKINGE LÄN</t>
        </is>
      </c>
      <c r="E35" t="inlineStr">
        <is>
          <t>KARLSHAMN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43182-2022</t>
        </is>
      </c>
      <c r="B36" s="1" t="n">
        <v>44834</v>
      </c>
      <c r="C36" s="1" t="n">
        <v>46203</v>
      </c>
      <c r="D36" t="inlineStr">
        <is>
          <t>BLEKINGE LÄN</t>
        </is>
      </c>
      <c r="E36" t="inlineStr">
        <is>
          <t>KARLSHAMN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38944-2021</t>
        </is>
      </c>
      <c r="B37" s="1" t="n">
        <v>44410</v>
      </c>
      <c r="C37" s="1" t="n">
        <v>46203</v>
      </c>
      <c r="D37" t="inlineStr">
        <is>
          <t>BLEKINGE LÄN</t>
        </is>
      </c>
      <c r="E37" t="inlineStr">
        <is>
          <t>KARLSHAMN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45197-2021</t>
        </is>
      </c>
      <c r="B38" s="1" t="n">
        <v>44439</v>
      </c>
      <c r="C38" s="1" t="n">
        <v>46203</v>
      </c>
      <c r="D38" t="inlineStr">
        <is>
          <t>BLEKINGE LÄN</t>
        </is>
      </c>
      <c r="E38" t="inlineStr">
        <is>
          <t>KARLSHAMN</t>
        </is>
      </c>
      <c r="F38" t="inlineStr">
        <is>
          <t>Kommuner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8-2022</t>
        </is>
      </c>
      <c r="B39" s="1" t="n">
        <v>44563</v>
      </c>
      <c r="C39" s="1" t="n">
        <v>46203</v>
      </c>
      <c r="D39" t="inlineStr">
        <is>
          <t>BLEKINGE LÄN</t>
        </is>
      </c>
      <c r="E39" t="inlineStr">
        <is>
          <t>KARLSHAMN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2974-2022</t>
        </is>
      </c>
      <c r="B40" s="1" t="n">
        <v>44581</v>
      </c>
      <c r="C40" s="1" t="n">
        <v>46203</v>
      </c>
      <c r="D40" t="inlineStr">
        <is>
          <t>BLEKINGE LÄN</t>
        </is>
      </c>
      <c r="E40" t="inlineStr">
        <is>
          <t>KARLSHAMN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51503-2021</t>
        </is>
      </c>
      <c r="B41" s="1" t="n">
        <v>44462</v>
      </c>
      <c r="C41" s="1" t="n">
        <v>46203</v>
      </c>
      <c r="D41" t="inlineStr">
        <is>
          <t>BLEKINGE LÄN</t>
        </is>
      </c>
      <c r="E41" t="inlineStr">
        <is>
          <t>KARLSHAMN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67266-2021</t>
        </is>
      </c>
      <c r="B42" s="1" t="n">
        <v>44523</v>
      </c>
      <c r="C42" s="1" t="n">
        <v>46203</v>
      </c>
      <c r="D42" t="inlineStr">
        <is>
          <t>BLEKINGE LÄN</t>
        </is>
      </c>
      <c r="E42" t="inlineStr">
        <is>
          <t>KARLSHAMN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54020-2021</t>
        </is>
      </c>
      <c r="B43" s="1" t="n">
        <v>44470</v>
      </c>
      <c r="C43" s="1" t="n">
        <v>46203</v>
      </c>
      <c r="D43" t="inlineStr">
        <is>
          <t>BLEKINGE LÄN</t>
        </is>
      </c>
      <c r="E43" t="inlineStr">
        <is>
          <t>KARLSHAMN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3148-2022</t>
        </is>
      </c>
      <c r="B44" s="1" t="n">
        <v>44582</v>
      </c>
      <c r="C44" s="1" t="n">
        <v>46203</v>
      </c>
      <c r="D44" t="inlineStr">
        <is>
          <t>BLEKINGE LÄN</t>
        </is>
      </c>
      <c r="E44" t="inlineStr">
        <is>
          <t>KARLSHAMN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58837-2021</t>
        </is>
      </c>
      <c r="B45" s="1" t="n">
        <v>44489</v>
      </c>
      <c r="C45" s="1" t="n">
        <v>46203</v>
      </c>
      <c r="D45" t="inlineStr">
        <is>
          <t>BLEKINGE LÄN</t>
        </is>
      </c>
      <c r="E45" t="inlineStr">
        <is>
          <t>KARLSHAMN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31662-2022</t>
        </is>
      </c>
      <c r="B46" s="1" t="n">
        <v>44776</v>
      </c>
      <c r="C46" s="1" t="n">
        <v>46203</v>
      </c>
      <c r="D46" t="inlineStr">
        <is>
          <t>BLEKINGE LÄN</t>
        </is>
      </c>
      <c r="E46" t="inlineStr">
        <is>
          <t>KARLSHAMN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31666-2022</t>
        </is>
      </c>
      <c r="B47" s="1" t="n">
        <v>44776</v>
      </c>
      <c r="C47" s="1" t="n">
        <v>46203</v>
      </c>
      <c r="D47" t="inlineStr">
        <is>
          <t>BLEKINGE LÄN</t>
        </is>
      </c>
      <c r="E47" t="inlineStr">
        <is>
          <t>KARLSHAMN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2659-2022</t>
        </is>
      </c>
      <c r="B48" s="1" t="n">
        <v>44580</v>
      </c>
      <c r="C48" s="1" t="n">
        <v>46203</v>
      </c>
      <c r="D48" t="inlineStr">
        <is>
          <t>BLEKINGE LÄN</t>
        </is>
      </c>
      <c r="E48" t="inlineStr">
        <is>
          <t>KARLSHAMN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35052-2022</t>
        </is>
      </c>
      <c r="B49" s="1" t="n">
        <v>44796</v>
      </c>
      <c r="C49" s="1" t="n">
        <v>46203</v>
      </c>
      <c r="D49" t="inlineStr">
        <is>
          <t>BLEKINGE LÄN</t>
        </is>
      </c>
      <c r="E49" t="inlineStr">
        <is>
          <t>KARLSHAMN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66838-2021</t>
        </is>
      </c>
      <c r="B50" s="1" t="n">
        <v>44522</v>
      </c>
      <c r="C50" s="1" t="n">
        <v>46203</v>
      </c>
      <c r="D50" t="inlineStr">
        <is>
          <t>BLEKINGE LÄN</t>
        </is>
      </c>
      <c r="E50" t="inlineStr">
        <is>
          <t>KARLSHAMN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58816-2021</t>
        </is>
      </c>
      <c r="B51" s="1" t="n">
        <v>44489</v>
      </c>
      <c r="C51" s="1" t="n">
        <v>46203</v>
      </c>
      <c r="D51" t="inlineStr">
        <is>
          <t>BLEKINGE LÄN</t>
        </is>
      </c>
      <c r="E51" t="inlineStr">
        <is>
          <t>KARLSHAMN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58830-2021</t>
        </is>
      </c>
      <c r="B52" s="1" t="n">
        <v>44489</v>
      </c>
      <c r="C52" s="1" t="n">
        <v>46203</v>
      </c>
      <c r="D52" t="inlineStr">
        <is>
          <t>BLEKINGE LÄN</t>
        </is>
      </c>
      <c r="E52" t="inlineStr">
        <is>
          <t>KARLSHAMN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67973-2021</t>
        </is>
      </c>
      <c r="B53" s="1" t="n">
        <v>44525</v>
      </c>
      <c r="C53" s="1" t="n">
        <v>46203</v>
      </c>
      <c r="D53" t="inlineStr">
        <is>
          <t>BLEKINGE LÄN</t>
        </is>
      </c>
      <c r="E53" t="inlineStr">
        <is>
          <t>KARLSHAMN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68165-2021</t>
        </is>
      </c>
      <c r="B54" s="1" t="n">
        <v>44526</v>
      </c>
      <c r="C54" s="1" t="n">
        <v>46203</v>
      </c>
      <c r="D54" t="inlineStr">
        <is>
          <t>BLEKINGE LÄN</t>
        </is>
      </c>
      <c r="E54" t="inlineStr">
        <is>
          <t>KARLSHAMN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57796-2021</t>
        </is>
      </c>
      <c r="B55" s="1" t="n">
        <v>44484</v>
      </c>
      <c r="C55" s="1" t="n">
        <v>46203</v>
      </c>
      <c r="D55" t="inlineStr">
        <is>
          <t>BLEKINGE LÄN</t>
        </is>
      </c>
      <c r="E55" t="inlineStr">
        <is>
          <t>KARLSHAMN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45587-2021</t>
        </is>
      </c>
      <c r="B56" s="1" t="n">
        <v>44440</v>
      </c>
      <c r="C56" s="1" t="n">
        <v>46203</v>
      </c>
      <c r="D56" t="inlineStr">
        <is>
          <t>BLEKINGE LÄN</t>
        </is>
      </c>
      <c r="E56" t="inlineStr">
        <is>
          <t>KARLSHAMN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57995-2021</t>
        </is>
      </c>
      <c r="B57" s="1" t="n">
        <v>44487</v>
      </c>
      <c r="C57" s="1" t="n">
        <v>46203</v>
      </c>
      <c r="D57" t="inlineStr">
        <is>
          <t>BLEKINGE LÄN</t>
        </is>
      </c>
      <c r="E57" t="inlineStr">
        <is>
          <t>KARLSHAMN</t>
        </is>
      </c>
      <c r="G57" t="n">
        <v>6.8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38212-2022</t>
        </is>
      </c>
      <c r="B58" s="1" t="n">
        <v>44812</v>
      </c>
      <c r="C58" s="1" t="n">
        <v>46203</v>
      </c>
      <c r="D58" t="inlineStr">
        <is>
          <t>BLEKINGE LÄN</t>
        </is>
      </c>
      <c r="E58" t="inlineStr">
        <is>
          <t>KARLSHAMN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48182-2023</t>
        </is>
      </c>
      <c r="B59" s="1" t="n">
        <v>45205</v>
      </c>
      <c r="C59" s="1" t="n">
        <v>46203</v>
      </c>
      <c r="D59" t="inlineStr">
        <is>
          <t>BLEKINGE LÄN</t>
        </is>
      </c>
      <c r="E59" t="inlineStr">
        <is>
          <t>KARLSHAMN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42208-2021</t>
        </is>
      </c>
      <c r="B60" s="1" t="n">
        <v>44426</v>
      </c>
      <c r="C60" s="1" t="n">
        <v>46203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17070-2024</t>
        </is>
      </c>
      <c r="B61" s="1" t="n">
        <v>45412</v>
      </c>
      <c r="C61" s="1" t="n">
        <v>46203</v>
      </c>
      <c r="D61" t="inlineStr">
        <is>
          <t>BLEKINGE LÄN</t>
        </is>
      </c>
      <c r="E61" t="inlineStr">
        <is>
          <t>KARLSHAMN</t>
        </is>
      </c>
      <c r="F61" t="inlineStr">
        <is>
          <t>Kyrkan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62377-2022</t>
        </is>
      </c>
      <c r="B62" s="1" t="n">
        <v>44923</v>
      </c>
      <c r="C62" s="1" t="n">
        <v>46203</v>
      </c>
      <c r="D62" t="inlineStr">
        <is>
          <t>BLEKINGE LÄN</t>
        </is>
      </c>
      <c r="E62" t="inlineStr">
        <is>
          <t>KARLSHAMN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33563-2024</t>
        </is>
      </c>
      <c r="B63" s="1" t="n">
        <v>45519</v>
      </c>
      <c r="C63" s="1" t="n">
        <v>46203</v>
      </c>
      <c r="D63" t="inlineStr">
        <is>
          <t>BLEKINGE LÄN</t>
        </is>
      </c>
      <c r="E63" t="inlineStr">
        <is>
          <t>KARLSHAMN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10245-2022</t>
        </is>
      </c>
      <c r="B64" s="1" t="n">
        <v>44622</v>
      </c>
      <c r="C64" s="1" t="n">
        <v>46203</v>
      </c>
      <c r="D64" t="inlineStr">
        <is>
          <t>BLEKINGE LÄN</t>
        </is>
      </c>
      <c r="E64" t="inlineStr">
        <is>
          <t>KARLSHAMN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17073-2024</t>
        </is>
      </c>
      <c r="B65" s="1" t="n">
        <v>45412</v>
      </c>
      <c r="C65" s="1" t="n">
        <v>46203</v>
      </c>
      <c r="D65" t="inlineStr">
        <is>
          <t>BLEKINGE LÄN</t>
        </is>
      </c>
      <c r="E65" t="inlineStr">
        <is>
          <t>KARLSHAMN</t>
        </is>
      </c>
      <c r="F65" t="inlineStr">
        <is>
          <t>Kyrkan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48853-2025</t>
        </is>
      </c>
      <c r="B66" s="1" t="n">
        <v>45937</v>
      </c>
      <c r="C66" s="1" t="n">
        <v>46203</v>
      </c>
      <c r="D66" t="inlineStr">
        <is>
          <t>BLEKINGE LÄN</t>
        </is>
      </c>
      <c r="E66" t="inlineStr">
        <is>
          <t>KARLSHAMN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21399-2025</t>
        </is>
      </c>
      <c r="B67" s="1" t="n">
        <v>45782</v>
      </c>
      <c r="C67" s="1" t="n">
        <v>46203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49649-2025</t>
        </is>
      </c>
      <c r="B68" s="1" t="n">
        <v>45939</v>
      </c>
      <c r="C68" s="1" t="n">
        <v>46203</v>
      </c>
      <c r="D68" t="inlineStr">
        <is>
          <t>BLEKINGE LÄN</t>
        </is>
      </c>
      <c r="E68" t="inlineStr">
        <is>
          <t>KARLSHAMN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56669-2023</t>
        </is>
      </c>
      <c r="B69" s="1" t="n">
        <v>45243</v>
      </c>
      <c r="C69" s="1" t="n">
        <v>46203</v>
      </c>
      <c r="D69" t="inlineStr">
        <is>
          <t>BLEKINGE LÄN</t>
        </is>
      </c>
      <c r="E69" t="inlineStr">
        <is>
          <t>KARLSHAMN</t>
        </is>
      </c>
      <c r="G69" t="n">
        <v>11.4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7982-2022</t>
        </is>
      </c>
      <c r="B70" s="1" t="n">
        <v>44609</v>
      </c>
      <c r="C70" s="1" t="n">
        <v>46203</v>
      </c>
      <c r="D70" t="inlineStr">
        <is>
          <t>BLEKINGE LÄN</t>
        </is>
      </c>
      <c r="E70" t="inlineStr">
        <is>
          <t>KARLSHAMN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33716-2025</t>
        </is>
      </c>
      <c r="B71" s="1" t="n">
        <v>45841</v>
      </c>
      <c r="C71" s="1" t="n">
        <v>46203</v>
      </c>
      <c r="D71" t="inlineStr">
        <is>
          <t>BLEKINGE LÄN</t>
        </is>
      </c>
      <c r="E71" t="inlineStr">
        <is>
          <t>KARLSHAMN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5317-2024</t>
        </is>
      </c>
      <c r="B72" s="1" t="n">
        <v>45331</v>
      </c>
      <c r="C72" s="1" t="n">
        <v>46203</v>
      </c>
      <c r="D72" t="inlineStr">
        <is>
          <t>BLEKINGE LÄN</t>
        </is>
      </c>
      <c r="E72" t="inlineStr">
        <is>
          <t>KARLSHAMN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51531-2025</t>
        </is>
      </c>
      <c r="B73" s="1" t="n">
        <v>45950</v>
      </c>
      <c r="C73" s="1" t="n">
        <v>46203</v>
      </c>
      <c r="D73" t="inlineStr">
        <is>
          <t>BLEKINGE LÄN</t>
        </is>
      </c>
      <c r="E73" t="inlineStr">
        <is>
          <t>KARLSHAMN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52258-2025</t>
        </is>
      </c>
      <c r="B74" s="1" t="n">
        <v>45953</v>
      </c>
      <c r="C74" s="1" t="n">
        <v>46203</v>
      </c>
      <c r="D74" t="inlineStr">
        <is>
          <t>BLEKINGE LÄN</t>
        </is>
      </c>
      <c r="E74" t="inlineStr">
        <is>
          <t>KARLSHAMN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41052-2025</t>
        </is>
      </c>
      <c r="B75" s="1" t="n">
        <v>45898</v>
      </c>
      <c r="C75" s="1" t="n">
        <v>46203</v>
      </c>
      <c r="D75" t="inlineStr">
        <is>
          <t>BLEKINGE LÄN</t>
        </is>
      </c>
      <c r="E75" t="inlineStr">
        <is>
          <t>KARLSHAMN</t>
        </is>
      </c>
      <c r="F75" t="inlineStr">
        <is>
          <t>Sveaskog</t>
        </is>
      </c>
      <c r="G75" t="n">
        <v>7.8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41061-2025</t>
        </is>
      </c>
      <c r="B76" s="1" t="n">
        <v>45898</v>
      </c>
      <c r="C76" s="1" t="n">
        <v>46203</v>
      </c>
      <c r="D76" t="inlineStr">
        <is>
          <t>BLEKINGE LÄN</t>
        </is>
      </c>
      <c r="E76" t="inlineStr">
        <is>
          <t>KARLSHAMN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52892-2025</t>
        </is>
      </c>
      <c r="B77" s="1" t="n">
        <v>45954</v>
      </c>
      <c r="C77" s="1" t="n">
        <v>46203</v>
      </c>
      <c r="D77" t="inlineStr">
        <is>
          <t>BLEKINGE LÄN</t>
        </is>
      </c>
      <c r="E77" t="inlineStr">
        <is>
          <t>KARLSHAMN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24051-2025</t>
        </is>
      </c>
      <c r="B78" s="1" t="n">
        <v>45796</v>
      </c>
      <c r="C78" s="1" t="n">
        <v>46203</v>
      </c>
      <c r="D78" t="inlineStr">
        <is>
          <t>BLEKINGE LÄN</t>
        </is>
      </c>
      <c r="E78" t="inlineStr">
        <is>
          <t>KARLSHAMN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41313-2025</t>
        </is>
      </c>
      <c r="B79" s="1" t="n">
        <v>45898</v>
      </c>
      <c r="C79" s="1" t="n">
        <v>46203</v>
      </c>
      <c r="D79" t="inlineStr">
        <is>
          <t>BLEKINGE LÄN</t>
        </is>
      </c>
      <c r="E79" t="inlineStr">
        <is>
          <t>KARLSHAMN</t>
        </is>
      </c>
      <c r="F79" t="inlineStr">
        <is>
          <t>Sveaskog</t>
        </is>
      </c>
      <c r="G79" t="n">
        <v>6.9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36597-2025</t>
        </is>
      </c>
      <c r="B80" s="1" t="n">
        <v>45870</v>
      </c>
      <c r="C80" s="1" t="n">
        <v>46203</v>
      </c>
      <c r="D80" t="inlineStr">
        <is>
          <t>BLEKINGE LÄN</t>
        </is>
      </c>
      <c r="E80" t="inlineStr">
        <is>
          <t>KARLSHAMN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39240-2024</t>
        </is>
      </c>
      <c r="B81" s="1" t="n">
        <v>45550</v>
      </c>
      <c r="C81" s="1" t="n">
        <v>46203</v>
      </c>
      <c r="D81" t="inlineStr">
        <is>
          <t>BLEKINGE LÄN</t>
        </is>
      </c>
      <c r="E81" t="inlineStr">
        <is>
          <t>KARLSHAMN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53585-2025</t>
        </is>
      </c>
      <c r="B82" s="1" t="n">
        <v>45960</v>
      </c>
      <c r="C82" s="1" t="n">
        <v>46203</v>
      </c>
      <c r="D82" t="inlineStr">
        <is>
          <t>BLEKINGE LÄN</t>
        </is>
      </c>
      <c r="E82" t="inlineStr">
        <is>
          <t>KARLSHAMN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42619-2025</t>
        </is>
      </c>
      <c r="B83" s="1" t="n">
        <v>45905</v>
      </c>
      <c r="C83" s="1" t="n">
        <v>46203</v>
      </c>
      <c r="D83" t="inlineStr">
        <is>
          <t>BLEKINGE LÄN</t>
        </is>
      </c>
      <c r="E83" t="inlineStr">
        <is>
          <t>KARLSHAMN</t>
        </is>
      </c>
      <c r="G83" t="n">
        <v>20.9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42770-2025</t>
        </is>
      </c>
      <c r="B84" s="1" t="n">
        <v>45908</v>
      </c>
      <c r="C84" s="1" t="n">
        <v>46203</v>
      </c>
      <c r="D84" t="inlineStr">
        <is>
          <t>BLEKINGE LÄN</t>
        </is>
      </c>
      <c r="E84" t="inlineStr">
        <is>
          <t>KARLSHAMN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42775-2025</t>
        </is>
      </c>
      <c r="B85" s="1" t="n">
        <v>45908</v>
      </c>
      <c r="C85" s="1" t="n">
        <v>46203</v>
      </c>
      <c r="D85" t="inlineStr">
        <is>
          <t>BLEKINGE LÄN</t>
        </is>
      </c>
      <c r="E85" t="inlineStr">
        <is>
          <t>KARLSHAMN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47844-2021</t>
        </is>
      </c>
      <c r="B86" s="1" t="n">
        <v>44448</v>
      </c>
      <c r="C86" s="1" t="n">
        <v>46203</v>
      </c>
      <c r="D86" t="inlineStr">
        <is>
          <t>BLEKINGE LÄN</t>
        </is>
      </c>
      <c r="E86" t="inlineStr">
        <is>
          <t>KARLSHAMN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47848-2021</t>
        </is>
      </c>
      <c r="B87" s="1" t="n">
        <v>44448</v>
      </c>
      <c r="C87" s="1" t="n">
        <v>46203</v>
      </c>
      <c r="D87" t="inlineStr">
        <is>
          <t>BLEKINGE LÄN</t>
        </is>
      </c>
      <c r="E87" t="inlineStr">
        <is>
          <t>KARLSHAMN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55076-2025</t>
        </is>
      </c>
      <c r="B88" s="1" t="n">
        <v>45967</v>
      </c>
      <c r="C88" s="1" t="n">
        <v>46203</v>
      </c>
      <c r="D88" t="inlineStr">
        <is>
          <t>BLEKINGE LÄN</t>
        </is>
      </c>
      <c r="E88" t="inlineStr">
        <is>
          <t>KARLSHAMN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55075-2025</t>
        </is>
      </c>
      <c r="B89" s="1" t="n">
        <v>45967</v>
      </c>
      <c r="C89" s="1" t="n">
        <v>46203</v>
      </c>
      <c r="D89" t="inlineStr">
        <is>
          <t>BLEKINGE LÄN</t>
        </is>
      </c>
      <c r="E89" t="inlineStr">
        <is>
          <t>KARLSHAMN</t>
        </is>
      </c>
      <c r="F89" t="inlineStr">
        <is>
          <t>Sveaskog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50254-2024</t>
        </is>
      </c>
      <c r="B90" s="1" t="n">
        <v>45600</v>
      </c>
      <c r="C90" s="1" t="n">
        <v>46203</v>
      </c>
      <c r="D90" t="inlineStr">
        <is>
          <t>BLEKINGE LÄN</t>
        </is>
      </c>
      <c r="E90" t="inlineStr">
        <is>
          <t>KARLSHAMN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31389-2023</t>
        </is>
      </c>
      <c r="B91" s="1" t="n">
        <v>45104</v>
      </c>
      <c r="C91" s="1" t="n">
        <v>46203</v>
      </c>
      <c r="D91" t="inlineStr">
        <is>
          <t>BLEKINGE LÄN</t>
        </is>
      </c>
      <c r="E91" t="inlineStr">
        <is>
          <t>KARLSHAMN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43360-2025</t>
        </is>
      </c>
      <c r="B92" s="1" t="n">
        <v>45911</v>
      </c>
      <c r="C92" s="1" t="n">
        <v>46203</v>
      </c>
      <c r="D92" t="inlineStr">
        <is>
          <t>BLEKINGE LÄN</t>
        </is>
      </c>
      <c r="E92" t="inlineStr">
        <is>
          <t>KARLSHAMN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44312-2025</t>
        </is>
      </c>
      <c r="B93" s="1" t="n">
        <v>45916</v>
      </c>
      <c r="C93" s="1" t="n">
        <v>46203</v>
      </c>
      <c r="D93" t="inlineStr">
        <is>
          <t>BLEKINGE LÄN</t>
        </is>
      </c>
      <c r="E93" t="inlineStr">
        <is>
          <t>KARLSHAMN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26095-2025</t>
        </is>
      </c>
      <c r="B94" s="1" t="n">
        <v>45805</v>
      </c>
      <c r="C94" s="1" t="n">
        <v>46203</v>
      </c>
      <c r="D94" t="inlineStr">
        <is>
          <t>BLEKINGE LÄN</t>
        </is>
      </c>
      <c r="E94" t="inlineStr">
        <is>
          <t>KARLSHAMN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44953-2025</t>
        </is>
      </c>
      <c r="B95" s="1" t="n">
        <v>45918</v>
      </c>
      <c r="C95" s="1" t="n">
        <v>46203</v>
      </c>
      <c r="D95" t="inlineStr">
        <is>
          <t>BLEKINGE LÄN</t>
        </is>
      </c>
      <c r="E95" t="inlineStr">
        <is>
          <t>KARLSHAMN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26645-2025</t>
        </is>
      </c>
      <c r="B96" s="1" t="n">
        <v>45810</v>
      </c>
      <c r="C96" s="1" t="n">
        <v>46203</v>
      </c>
      <c r="D96" t="inlineStr">
        <is>
          <t>BLEKINGE LÄN</t>
        </is>
      </c>
      <c r="E96" t="inlineStr">
        <is>
          <t>KARLSHAMN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27496-2025</t>
        </is>
      </c>
      <c r="B97" s="1" t="n">
        <v>45813</v>
      </c>
      <c r="C97" s="1" t="n">
        <v>46203</v>
      </c>
      <c r="D97" t="inlineStr">
        <is>
          <t>BLEKINGE LÄN</t>
        </is>
      </c>
      <c r="E97" t="inlineStr">
        <is>
          <t>KARLSHAMN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27500-2025</t>
        </is>
      </c>
      <c r="B98" s="1" t="n">
        <v>45813</v>
      </c>
      <c r="C98" s="1" t="n">
        <v>46203</v>
      </c>
      <c r="D98" t="inlineStr">
        <is>
          <t>BLEKINGE LÄN</t>
        </is>
      </c>
      <c r="E98" t="inlineStr">
        <is>
          <t>KARLSHAMN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27473-2025</t>
        </is>
      </c>
      <c r="B99" s="1" t="n">
        <v>45813</v>
      </c>
      <c r="C99" s="1" t="n">
        <v>46203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27487-2025</t>
        </is>
      </c>
      <c r="B100" s="1" t="n">
        <v>45813</v>
      </c>
      <c r="C100" s="1" t="n">
        <v>46203</v>
      </c>
      <c r="D100" t="inlineStr">
        <is>
          <t>BLEKINGE LÄN</t>
        </is>
      </c>
      <c r="E100" t="inlineStr">
        <is>
          <t>KARLSHAMN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27478-2025</t>
        </is>
      </c>
      <c r="B101" s="1" t="n">
        <v>45813</v>
      </c>
      <c r="C101" s="1" t="n">
        <v>46203</v>
      </c>
      <c r="D101" t="inlineStr">
        <is>
          <t>BLEKINGE LÄN</t>
        </is>
      </c>
      <c r="E101" t="inlineStr">
        <is>
          <t>KARLSHAMN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46749-2025</t>
        </is>
      </c>
      <c r="B102" s="1" t="n">
        <v>45926</v>
      </c>
      <c r="C102" s="1" t="n">
        <v>46203</v>
      </c>
      <c r="D102" t="inlineStr">
        <is>
          <t>BLEKINGE LÄN</t>
        </is>
      </c>
      <c r="E102" t="inlineStr">
        <is>
          <t>KARLSHAMN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57842-2025</t>
        </is>
      </c>
      <c r="B103" s="1" t="n">
        <v>45981</v>
      </c>
      <c r="C103" s="1" t="n">
        <v>46203</v>
      </c>
      <c r="D103" t="inlineStr">
        <is>
          <t>BLEKINGE LÄN</t>
        </is>
      </c>
      <c r="E103" t="inlineStr">
        <is>
          <t>KARLSHAMN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43636-2025</t>
        </is>
      </c>
      <c r="B104" s="1" t="n">
        <v>45911</v>
      </c>
      <c r="C104" s="1" t="n">
        <v>46203</v>
      </c>
      <c r="D104" t="inlineStr">
        <is>
          <t>BLEKINGE LÄN</t>
        </is>
      </c>
      <c r="E104" t="inlineStr">
        <is>
          <t>KARLSHAMN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46752-2025</t>
        </is>
      </c>
      <c r="B105" s="1" t="n">
        <v>45926</v>
      </c>
      <c r="C105" s="1" t="n">
        <v>46203</v>
      </c>
      <c r="D105" t="inlineStr">
        <is>
          <t>BLEKINGE LÄN</t>
        </is>
      </c>
      <c r="E105" t="inlineStr">
        <is>
          <t>KARLSHAMN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57826-2025</t>
        </is>
      </c>
      <c r="B106" s="1" t="n">
        <v>45981</v>
      </c>
      <c r="C106" s="1" t="n">
        <v>46203</v>
      </c>
      <c r="D106" t="inlineStr">
        <is>
          <t>BLEKINGE LÄN</t>
        </is>
      </c>
      <c r="E106" t="inlineStr">
        <is>
          <t>KARLSHAMN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58753-2025</t>
        </is>
      </c>
      <c r="B107" s="1" t="n">
        <v>45986</v>
      </c>
      <c r="C107" s="1" t="n">
        <v>46203</v>
      </c>
      <c r="D107" t="inlineStr">
        <is>
          <t>BLEKINGE LÄN</t>
        </is>
      </c>
      <c r="E107" t="inlineStr">
        <is>
          <t>KARLSHAMN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29396-2025</t>
        </is>
      </c>
      <c r="B108" s="1" t="n">
        <v>45824</v>
      </c>
      <c r="C108" s="1" t="n">
        <v>46203</v>
      </c>
      <c r="D108" t="inlineStr">
        <is>
          <t>BLEKINGE LÄN</t>
        </is>
      </c>
      <c r="E108" t="inlineStr">
        <is>
          <t>KARLSHAMN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29409-2025</t>
        </is>
      </c>
      <c r="B109" s="1" t="n">
        <v>45824</v>
      </c>
      <c r="C109" s="1" t="n">
        <v>46203</v>
      </c>
      <c r="D109" t="inlineStr">
        <is>
          <t>BLEKINGE LÄN</t>
        </is>
      </c>
      <c r="E109" t="inlineStr">
        <is>
          <t>KARLSHAMN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59276-2025</t>
        </is>
      </c>
      <c r="B110" s="1" t="n">
        <v>45988</v>
      </c>
      <c r="C110" s="1" t="n">
        <v>46203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56191-2023</t>
        </is>
      </c>
      <c r="B111" s="1" t="n">
        <v>45240</v>
      </c>
      <c r="C111" s="1" t="n">
        <v>46203</v>
      </c>
      <c r="D111" t="inlineStr">
        <is>
          <t>BLEKINGE LÄN</t>
        </is>
      </c>
      <c r="E111" t="inlineStr">
        <is>
          <t>KARLSHAMN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29897-2025</t>
        </is>
      </c>
      <c r="B112" s="1" t="n">
        <v>45826</v>
      </c>
      <c r="C112" s="1" t="n">
        <v>46203</v>
      </c>
      <c r="D112" t="inlineStr">
        <is>
          <t>BLEKINGE LÄN</t>
        </is>
      </c>
      <c r="E112" t="inlineStr">
        <is>
          <t>KARLSHAMN</t>
        </is>
      </c>
      <c r="F112" t="inlineStr">
        <is>
          <t>Sveaskog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8098-2023</t>
        </is>
      </c>
      <c r="B113" s="1" t="n">
        <v>44970</v>
      </c>
      <c r="C113" s="1" t="n">
        <v>46203</v>
      </c>
      <c r="D113" t="inlineStr">
        <is>
          <t>BLEKINGE LÄN</t>
        </is>
      </c>
      <c r="E113" t="inlineStr">
        <is>
          <t>KARLSHAMN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44702-2025</t>
        </is>
      </c>
      <c r="B114" s="1" t="n">
        <v>45917</v>
      </c>
      <c r="C114" s="1" t="n">
        <v>46203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15358-2024</t>
        </is>
      </c>
      <c r="B115" s="1" t="n">
        <v>45400</v>
      </c>
      <c r="C115" s="1" t="n">
        <v>46203</v>
      </c>
      <c r="D115" t="inlineStr">
        <is>
          <t>BLEKINGE LÄN</t>
        </is>
      </c>
      <c r="E115" t="inlineStr">
        <is>
          <t>KARLSHAMN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15361-2024</t>
        </is>
      </c>
      <c r="B116" s="1" t="n">
        <v>45400</v>
      </c>
      <c r="C116" s="1" t="n">
        <v>46203</v>
      </c>
      <c r="D116" t="inlineStr">
        <is>
          <t>BLEKINGE LÄN</t>
        </is>
      </c>
      <c r="E116" t="inlineStr">
        <is>
          <t>KARLSHAMN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22748-2024</t>
        </is>
      </c>
      <c r="B117" s="1" t="n">
        <v>45448</v>
      </c>
      <c r="C117" s="1" t="n">
        <v>46203</v>
      </c>
      <c r="D117" t="inlineStr">
        <is>
          <t>BLEKINGE LÄN</t>
        </is>
      </c>
      <c r="E117" t="inlineStr">
        <is>
          <t>KARLSHAMN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61432-2025</t>
        </is>
      </c>
      <c r="B118" s="1" t="n">
        <v>46001</v>
      </c>
      <c r="C118" s="1" t="n">
        <v>46203</v>
      </c>
      <c r="D118" t="inlineStr">
        <is>
          <t>BLEKINGE LÄN</t>
        </is>
      </c>
      <c r="E118" t="inlineStr">
        <is>
          <t>KARLSHAMN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61512-2025</t>
        </is>
      </c>
      <c r="B119" s="1" t="n">
        <v>46001</v>
      </c>
      <c r="C119" s="1" t="n">
        <v>46203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61516-2025</t>
        </is>
      </c>
      <c r="B120" s="1" t="n">
        <v>46001</v>
      </c>
      <c r="C120" s="1" t="n">
        <v>46203</v>
      </c>
      <c r="D120" t="inlineStr">
        <is>
          <t>BLEKINGE LÄN</t>
        </is>
      </c>
      <c r="E120" t="inlineStr">
        <is>
          <t>KARLSHAMN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40052-2025</t>
        </is>
      </c>
      <c r="B121" s="1" t="n">
        <v>45894</v>
      </c>
      <c r="C121" s="1" t="n">
        <v>46203</v>
      </c>
      <c r="D121" t="inlineStr">
        <is>
          <t>BLEKINGE LÄN</t>
        </is>
      </c>
      <c r="E121" t="inlineStr">
        <is>
          <t>KARLSHAMN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40046-2025</t>
        </is>
      </c>
      <c r="B122" s="1" t="n">
        <v>45894</v>
      </c>
      <c r="C122" s="1" t="n">
        <v>46203</v>
      </c>
      <c r="D122" t="inlineStr">
        <is>
          <t>BLEKINGE LÄN</t>
        </is>
      </c>
      <c r="E122" t="inlineStr">
        <is>
          <t>KARLSHAMN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41892-2025</t>
        </is>
      </c>
      <c r="B123" s="1" t="n">
        <v>45903</v>
      </c>
      <c r="C123" s="1" t="n">
        <v>46203</v>
      </c>
      <c r="D123" t="inlineStr">
        <is>
          <t>BLEKINGE LÄN</t>
        </is>
      </c>
      <c r="E123" t="inlineStr">
        <is>
          <t>KARLSHAMN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34458-2025</t>
        </is>
      </c>
      <c r="B124" s="1" t="n">
        <v>45846</v>
      </c>
      <c r="C124" s="1" t="n">
        <v>46203</v>
      </c>
      <c r="D124" t="inlineStr">
        <is>
          <t>BLEKINGE LÄN</t>
        </is>
      </c>
      <c r="E124" t="inlineStr">
        <is>
          <t>KARLSHAMN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57125-2022</t>
        </is>
      </c>
      <c r="B125" s="1" t="n">
        <v>44895</v>
      </c>
      <c r="C125" s="1" t="n">
        <v>46203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2062-2023</t>
        </is>
      </c>
      <c r="B126" s="1" t="n">
        <v>44939</v>
      </c>
      <c r="C126" s="1" t="n">
        <v>46203</v>
      </c>
      <c r="D126" t="inlineStr">
        <is>
          <t>BLEKINGE LÄN</t>
        </is>
      </c>
      <c r="E126" t="inlineStr">
        <is>
          <t>KARLSHAMN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2065-2023</t>
        </is>
      </c>
      <c r="B127" s="1" t="n">
        <v>44939</v>
      </c>
      <c r="C127" s="1" t="n">
        <v>46203</v>
      </c>
      <c r="D127" t="inlineStr">
        <is>
          <t>BLEKINGE LÄN</t>
        </is>
      </c>
      <c r="E127" t="inlineStr">
        <is>
          <t>KARLSHAMN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10008-2025</t>
        </is>
      </c>
      <c r="B128" s="1" t="n">
        <v>45719</v>
      </c>
      <c r="C128" s="1" t="n">
        <v>46203</v>
      </c>
      <c r="D128" t="inlineStr">
        <is>
          <t>BLEKINGE LÄN</t>
        </is>
      </c>
      <c r="E128" t="inlineStr">
        <is>
          <t>KARLSHAMN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34247-2025</t>
        </is>
      </c>
      <c r="B129" s="1" t="n">
        <v>45845</v>
      </c>
      <c r="C129" s="1" t="n">
        <v>46203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34959-2025</t>
        </is>
      </c>
      <c r="B130" s="1" t="n">
        <v>45849</v>
      </c>
      <c r="C130" s="1" t="n">
        <v>46203</v>
      </c>
      <c r="D130" t="inlineStr">
        <is>
          <t>BLEKINGE LÄN</t>
        </is>
      </c>
      <c r="E130" t="inlineStr">
        <is>
          <t>KARLSHAMN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34967-2025</t>
        </is>
      </c>
      <c r="B131" s="1" t="n">
        <v>45849</v>
      </c>
      <c r="C131" s="1" t="n">
        <v>46203</v>
      </c>
      <c r="D131" t="inlineStr">
        <is>
          <t>BLEKINGE LÄN</t>
        </is>
      </c>
      <c r="E131" t="inlineStr">
        <is>
          <t>KARLSHAMN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9391-2023</t>
        </is>
      </c>
      <c r="B132" s="1" t="n">
        <v>44981</v>
      </c>
      <c r="C132" s="1" t="n">
        <v>46203</v>
      </c>
      <c r="D132" t="inlineStr">
        <is>
          <t>BLEKINGE LÄN</t>
        </is>
      </c>
      <c r="E132" t="inlineStr">
        <is>
          <t>KARLSHAMN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56489-2021</t>
        </is>
      </c>
      <c r="B133" s="1" t="n">
        <v>44480</v>
      </c>
      <c r="C133" s="1" t="n">
        <v>46203</v>
      </c>
      <c r="D133" t="inlineStr">
        <is>
          <t>BLEKINGE LÄN</t>
        </is>
      </c>
      <c r="E133" t="inlineStr">
        <is>
          <t>KARLSHAMN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35442-2025</t>
        </is>
      </c>
      <c r="B134" s="1" t="n">
        <v>45855</v>
      </c>
      <c r="C134" s="1" t="n">
        <v>46203</v>
      </c>
      <c r="D134" t="inlineStr">
        <is>
          <t>BLEKINGE LÄN</t>
        </is>
      </c>
      <c r="E134" t="inlineStr">
        <is>
          <t>KARLSHAMN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13867-2025</t>
        </is>
      </c>
      <c r="B135" s="1" t="n">
        <v>45737</v>
      </c>
      <c r="C135" s="1" t="n">
        <v>46203</v>
      </c>
      <c r="D135" t="inlineStr">
        <is>
          <t>BLEKINGE LÄN</t>
        </is>
      </c>
      <c r="E135" t="inlineStr">
        <is>
          <t>KARLSHAMN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33715-2025</t>
        </is>
      </c>
      <c r="B136" s="1" t="n">
        <v>45841</v>
      </c>
      <c r="C136" s="1" t="n">
        <v>46203</v>
      </c>
      <c r="D136" t="inlineStr">
        <is>
          <t>BLEKINGE LÄN</t>
        </is>
      </c>
      <c r="E136" t="inlineStr">
        <is>
          <t>KARLSHAMN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37024-2025</t>
        </is>
      </c>
      <c r="B137" s="1" t="n">
        <v>45874</v>
      </c>
      <c r="C137" s="1" t="n">
        <v>46203</v>
      </c>
      <c r="D137" t="inlineStr">
        <is>
          <t>BLEKINGE LÄN</t>
        </is>
      </c>
      <c r="E137" t="inlineStr">
        <is>
          <t>KARLSHAMN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8148-2024</t>
        </is>
      </c>
      <c r="B138" s="1" t="n">
        <v>45351</v>
      </c>
      <c r="C138" s="1" t="n">
        <v>46203</v>
      </c>
      <c r="D138" t="inlineStr">
        <is>
          <t>BLEKINGE LÄN</t>
        </is>
      </c>
      <c r="E138" t="inlineStr">
        <is>
          <t>KARLSHAMN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55077-2025</t>
        </is>
      </c>
      <c r="B139" s="1" t="n">
        <v>45967</v>
      </c>
      <c r="C139" s="1" t="n">
        <v>46203</v>
      </c>
      <c r="D139" t="inlineStr">
        <is>
          <t>BLEKINGE LÄN</t>
        </is>
      </c>
      <c r="E139" t="inlineStr">
        <is>
          <t>KARLSHAMN</t>
        </is>
      </c>
      <c r="F139" t="inlineStr">
        <is>
          <t>Sveaskog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3225-2026</t>
        </is>
      </c>
      <c r="B140" s="1" t="n">
        <v>46041</v>
      </c>
      <c r="C140" s="1" t="n">
        <v>46203</v>
      </c>
      <c r="D140" t="inlineStr">
        <is>
          <t>BLEKINGE LÄN</t>
        </is>
      </c>
      <c r="E140" t="inlineStr">
        <is>
          <t>KARLSHAMN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2059-2023</t>
        </is>
      </c>
      <c r="B141" s="1" t="n">
        <v>44939</v>
      </c>
      <c r="C141" s="1" t="n">
        <v>46203</v>
      </c>
      <c r="D141" t="inlineStr">
        <is>
          <t>BLEKINGE LÄN</t>
        </is>
      </c>
      <c r="E141" t="inlineStr">
        <is>
          <t>KARLSHAMN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3820-2022</t>
        </is>
      </c>
      <c r="B142" s="1" t="n">
        <v>44586</v>
      </c>
      <c r="C142" s="1" t="n">
        <v>46203</v>
      </c>
      <c r="D142" t="inlineStr">
        <is>
          <t>BLEKINGE LÄN</t>
        </is>
      </c>
      <c r="E142" t="inlineStr">
        <is>
          <t>KARLSHAMN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38930-2021</t>
        </is>
      </c>
      <c r="B143" s="1" t="n">
        <v>44410</v>
      </c>
      <c r="C143" s="1" t="n">
        <v>46203</v>
      </c>
      <c r="D143" t="inlineStr">
        <is>
          <t>BLEKINGE LÄN</t>
        </is>
      </c>
      <c r="E143" t="inlineStr">
        <is>
          <t>KARLSHAMN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15967-2024</t>
        </is>
      </c>
      <c r="B144" s="1" t="n">
        <v>45405</v>
      </c>
      <c r="C144" s="1" t="n">
        <v>46203</v>
      </c>
      <c r="D144" t="inlineStr">
        <is>
          <t>BLEKINGE LÄN</t>
        </is>
      </c>
      <c r="E144" t="inlineStr">
        <is>
          <t>KARLSHAMN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2572-2023</t>
        </is>
      </c>
      <c r="B145" s="1" t="n">
        <v>44943</v>
      </c>
      <c r="C145" s="1" t="n">
        <v>46203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6222-2026</t>
        </is>
      </c>
      <c r="B146" s="1" t="n">
        <v>46055</v>
      </c>
      <c r="C146" s="1" t="n">
        <v>46203</v>
      </c>
      <c r="D146" t="inlineStr">
        <is>
          <t>BLEKINGE LÄN</t>
        </is>
      </c>
      <c r="E146" t="inlineStr">
        <is>
          <t>KARLSHAMN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10525-2022</t>
        </is>
      </c>
      <c r="B147" s="1" t="n">
        <v>44623</v>
      </c>
      <c r="C147" s="1" t="n">
        <v>46203</v>
      </c>
      <c r="D147" t="inlineStr">
        <is>
          <t>BLEKINGE LÄN</t>
        </is>
      </c>
      <c r="E147" t="inlineStr">
        <is>
          <t>KARLSHAMN</t>
        </is>
      </c>
      <c r="G147" t="n">
        <v>5.8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7984-2022</t>
        </is>
      </c>
      <c r="B148" s="1" t="n">
        <v>44609</v>
      </c>
      <c r="C148" s="1" t="n">
        <v>46203</v>
      </c>
      <c r="D148" t="inlineStr">
        <is>
          <t>BLEKINGE LÄN</t>
        </is>
      </c>
      <c r="E148" t="inlineStr">
        <is>
          <t>KARLSHAMN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6881-2026</t>
        </is>
      </c>
      <c r="B149" s="1" t="n">
        <v>46057</v>
      </c>
      <c r="C149" s="1" t="n">
        <v>46203</v>
      </c>
      <c r="D149" t="inlineStr">
        <is>
          <t>BLEKINGE LÄN</t>
        </is>
      </c>
      <c r="E149" t="inlineStr">
        <is>
          <t>KARLSHAMN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7163-2026</t>
        </is>
      </c>
      <c r="B150" s="1" t="n">
        <v>46058</v>
      </c>
      <c r="C150" s="1" t="n">
        <v>46203</v>
      </c>
      <c r="D150" t="inlineStr">
        <is>
          <t>BLEKINGE LÄN</t>
        </is>
      </c>
      <c r="E150" t="inlineStr">
        <is>
          <t>KARLSHAMN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39226-2024</t>
        </is>
      </c>
      <c r="B151" s="1" t="n">
        <v>45550</v>
      </c>
      <c r="C151" s="1" t="n">
        <v>46203</v>
      </c>
      <c r="D151" t="inlineStr">
        <is>
          <t>BLEKINGE LÄN</t>
        </is>
      </c>
      <c r="E151" t="inlineStr">
        <is>
          <t>KARLSHAMN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19745-2023</t>
        </is>
      </c>
      <c r="B152" s="1" t="n">
        <v>45051</v>
      </c>
      <c r="C152" s="1" t="n">
        <v>46203</v>
      </c>
      <c r="D152" t="inlineStr">
        <is>
          <t>BLEKINGE LÄN</t>
        </is>
      </c>
      <c r="E152" t="inlineStr">
        <is>
          <t>KARLSHAMN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19747-2023</t>
        </is>
      </c>
      <c r="B153" s="1" t="n">
        <v>45051</v>
      </c>
      <c r="C153" s="1" t="n">
        <v>46203</v>
      </c>
      <c r="D153" t="inlineStr">
        <is>
          <t>BLEKINGE LÄN</t>
        </is>
      </c>
      <c r="E153" t="inlineStr">
        <is>
          <t>KARLSHAMN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58920-2025</t>
        </is>
      </c>
      <c r="B154" s="1" t="n">
        <v>45987</v>
      </c>
      <c r="C154" s="1" t="n">
        <v>46203</v>
      </c>
      <c r="D154" t="inlineStr">
        <is>
          <t>BLEKINGE LÄN</t>
        </is>
      </c>
      <c r="E154" t="inlineStr">
        <is>
          <t>KARLSHAMN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15444-2022</t>
        </is>
      </c>
      <c r="B155" s="1" t="n">
        <v>44660</v>
      </c>
      <c r="C155" s="1" t="n">
        <v>46203</v>
      </c>
      <c r="D155" t="inlineStr">
        <is>
          <t>BLEKINGE LÄN</t>
        </is>
      </c>
      <c r="E155" t="inlineStr">
        <is>
          <t>KARLSHAMN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19899-2023</t>
        </is>
      </c>
      <c r="B156" s="1" t="n">
        <v>45054</v>
      </c>
      <c r="C156" s="1" t="n">
        <v>46203</v>
      </c>
      <c r="D156" t="inlineStr">
        <is>
          <t>BLEKINGE LÄN</t>
        </is>
      </c>
      <c r="E156" t="inlineStr">
        <is>
          <t>KARLSHAMN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50131-2025</t>
        </is>
      </c>
      <c r="B157" s="1" t="n">
        <v>45943</v>
      </c>
      <c r="C157" s="1" t="n">
        <v>46203</v>
      </c>
      <c r="D157" t="inlineStr">
        <is>
          <t>BLEKINGE LÄN</t>
        </is>
      </c>
      <c r="E157" t="inlineStr">
        <is>
          <t>KARLSHAMN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48181-2023</t>
        </is>
      </c>
      <c r="B158" s="1" t="n">
        <v>45205</v>
      </c>
      <c r="C158" s="1" t="n">
        <v>46203</v>
      </c>
      <c r="D158" t="inlineStr">
        <is>
          <t>BLEKINGE LÄN</t>
        </is>
      </c>
      <c r="E158" t="inlineStr">
        <is>
          <t>KARLSHAMN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48186-2023</t>
        </is>
      </c>
      <c r="B159" s="1" t="n">
        <v>45205</v>
      </c>
      <c r="C159" s="1" t="n">
        <v>46203</v>
      </c>
      <c r="D159" t="inlineStr">
        <is>
          <t>BLEKINGE LÄN</t>
        </is>
      </c>
      <c r="E159" t="inlineStr">
        <is>
          <t>KARLSHAMN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11544-2026</t>
        </is>
      </c>
      <c r="B160" s="1" t="n">
        <v>46083</v>
      </c>
      <c r="C160" s="1" t="n">
        <v>46203</v>
      </c>
      <c r="D160" t="inlineStr">
        <is>
          <t>BLEKINGE LÄN</t>
        </is>
      </c>
      <c r="E160" t="inlineStr">
        <is>
          <t>KARLSHAMN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12577-2026</t>
        </is>
      </c>
      <c r="B161" s="1" t="n">
        <v>46090</v>
      </c>
      <c r="C161" s="1" t="n">
        <v>46203</v>
      </c>
      <c r="D161" t="inlineStr">
        <is>
          <t>BLEKINGE LÄN</t>
        </is>
      </c>
      <c r="E161" t="inlineStr">
        <is>
          <t>KARLSHAMN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4119-2023</t>
        </is>
      </c>
      <c r="B162" s="1" t="n">
        <v>44952</v>
      </c>
      <c r="C162" s="1" t="n">
        <v>46203</v>
      </c>
      <c r="D162" t="inlineStr">
        <is>
          <t>BLEKINGE LÄN</t>
        </is>
      </c>
      <c r="E162" t="inlineStr">
        <is>
          <t>KARLSHAMN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4120-2023</t>
        </is>
      </c>
      <c r="B163" s="1" t="n">
        <v>44952</v>
      </c>
      <c r="C163" s="1" t="n">
        <v>46203</v>
      </c>
      <c r="D163" t="inlineStr">
        <is>
          <t>BLEKINGE LÄN</t>
        </is>
      </c>
      <c r="E163" t="inlineStr">
        <is>
          <t>KARLSHAMN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13523-2026</t>
        </is>
      </c>
      <c r="B164" s="1" t="n">
        <v>46094</v>
      </c>
      <c r="C164" s="1" t="n">
        <v>46203</v>
      </c>
      <c r="D164" t="inlineStr">
        <is>
          <t>BLEKINGE LÄN</t>
        </is>
      </c>
      <c r="E164" t="inlineStr">
        <is>
          <t>KARLSHAMN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14224-2025</t>
        </is>
      </c>
      <c r="B165" s="1" t="n">
        <v>45740</v>
      </c>
      <c r="C165" s="1" t="n">
        <v>46203</v>
      </c>
      <c r="D165" t="inlineStr">
        <is>
          <t>BLEKINGE LÄN</t>
        </is>
      </c>
      <c r="E165" t="inlineStr">
        <is>
          <t>KARLSHAMN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13733-2026</t>
        </is>
      </c>
      <c r="B166" s="1" t="n">
        <v>46097</v>
      </c>
      <c r="C166" s="1" t="n">
        <v>46203</v>
      </c>
      <c r="D166" t="inlineStr">
        <is>
          <t>BLEKINGE LÄN</t>
        </is>
      </c>
      <c r="E166" t="inlineStr">
        <is>
          <t>KARLSHAMN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13602-2026</t>
        </is>
      </c>
      <c r="B167" s="1" t="n">
        <v>46097</v>
      </c>
      <c r="C167" s="1" t="n">
        <v>46203</v>
      </c>
      <c r="D167" t="inlineStr">
        <is>
          <t>BLEKINGE LÄN</t>
        </is>
      </c>
      <c r="E167" t="inlineStr">
        <is>
          <t>KARLSHAMN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7246-2024</t>
        </is>
      </c>
      <c r="B168" s="1" t="n">
        <v>45344</v>
      </c>
      <c r="C168" s="1" t="n">
        <v>46203</v>
      </c>
      <c r="D168" t="inlineStr">
        <is>
          <t>BLEKINGE LÄN</t>
        </is>
      </c>
      <c r="E168" t="inlineStr">
        <is>
          <t>KARLSHAMN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1747-2024</t>
        </is>
      </c>
      <c r="B169" s="1" t="n">
        <v>45307</v>
      </c>
      <c r="C169" s="1" t="n">
        <v>46203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7356-2023</t>
        </is>
      </c>
      <c r="B170" s="1" t="n">
        <v>44971</v>
      </c>
      <c r="C170" s="1" t="n">
        <v>46203</v>
      </c>
      <c r="D170" t="inlineStr">
        <is>
          <t>BLEKINGE LÄN</t>
        </is>
      </c>
      <c r="E170" t="inlineStr">
        <is>
          <t>KARLSHAMN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14335-2026</t>
        </is>
      </c>
      <c r="B171" s="1" t="n">
        <v>46100</v>
      </c>
      <c r="C171" s="1" t="n">
        <v>46203</v>
      </c>
      <c r="D171" t="inlineStr">
        <is>
          <t>BLEKINGE LÄN</t>
        </is>
      </c>
      <c r="E171" t="inlineStr">
        <is>
          <t>KARLSHAMN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15134-2026</t>
        </is>
      </c>
      <c r="B172" s="1" t="n">
        <v>46104</v>
      </c>
      <c r="C172" s="1" t="n">
        <v>46203</v>
      </c>
      <c r="D172" t="inlineStr">
        <is>
          <t>BLEKINGE LÄN</t>
        </is>
      </c>
      <c r="E172" t="inlineStr">
        <is>
          <t>KARLSHAMN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15471-2026</t>
        </is>
      </c>
      <c r="B173" s="1" t="n">
        <v>46106</v>
      </c>
      <c r="C173" s="1" t="n">
        <v>46203</v>
      </c>
      <c r="D173" t="inlineStr">
        <is>
          <t>BLEKINGE LÄN</t>
        </is>
      </c>
      <c r="E173" t="inlineStr">
        <is>
          <t>KARLSHAMN</t>
        </is>
      </c>
      <c r="F173" t="inlineStr">
        <is>
          <t>Sveaskog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3099-2023</t>
        </is>
      </c>
      <c r="B174" s="1" t="n">
        <v>44946</v>
      </c>
      <c r="C174" s="1" t="n">
        <v>46203</v>
      </c>
      <c r="D174" t="inlineStr">
        <is>
          <t>BLEKINGE LÄN</t>
        </is>
      </c>
      <c r="E174" t="inlineStr">
        <is>
          <t>KARLSHAMN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50659-2024</t>
        </is>
      </c>
      <c r="B175" s="1" t="n">
        <v>45601</v>
      </c>
      <c r="C175" s="1" t="n">
        <v>46203</v>
      </c>
      <c r="D175" t="inlineStr">
        <is>
          <t>BLEKINGE LÄN</t>
        </is>
      </c>
      <c r="E175" t="inlineStr">
        <is>
          <t>KARLSHAMN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4012-2023</t>
        </is>
      </c>
      <c r="B176" s="1" t="n">
        <v>44952</v>
      </c>
      <c r="C176" s="1" t="n">
        <v>46203</v>
      </c>
      <c r="D176" t="inlineStr">
        <is>
          <t>BLEKINGE LÄN</t>
        </is>
      </c>
      <c r="E176" t="inlineStr">
        <is>
          <t>KARLSHAMN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15621-2026</t>
        </is>
      </c>
      <c r="B177" s="1" t="n">
        <v>46106</v>
      </c>
      <c r="C177" s="1" t="n">
        <v>46203</v>
      </c>
      <c r="D177" t="inlineStr">
        <is>
          <t>BLEKINGE LÄN</t>
        </is>
      </c>
      <c r="E177" t="inlineStr">
        <is>
          <t>KARLSHAMN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29389-2025</t>
        </is>
      </c>
      <c r="B178" s="1" t="n">
        <v>45824</v>
      </c>
      <c r="C178" s="1" t="n">
        <v>46203</v>
      </c>
      <c r="D178" t="inlineStr">
        <is>
          <t>BLEKINGE LÄN</t>
        </is>
      </c>
      <c r="E178" t="inlineStr">
        <is>
          <t>KARLSHAMN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52199-2025</t>
        </is>
      </c>
      <c r="B179" s="1" t="n">
        <v>45953</v>
      </c>
      <c r="C179" s="1" t="n">
        <v>46203</v>
      </c>
      <c r="D179" t="inlineStr">
        <is>
          <t>BLEKINGE LÄN</t>
        </is>
      </c>
      <c r="E179" t="inlineStr">
        <is>
          <t>KARLSHAMN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58786-2022</t>
        </is>
      </c>
      <c r="B180" s="1" t="n">
        <v>44903</v>
      </c>
      <c r="C180" s="1" t="n">
        <v>46203</v>
      </c>
      <c r="D180" t="inlineStr">
        <is>
          <t>BLEKINGE LÄN</t>
        </is>
      </c>
      <c r="E180" t="inlineStr">
        <is>
          <t>KARLSHAMN</t>
        </is>
      </c>
      <c r="G180" t="n">
        <v>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52195-2025</t>
        </is>
      </c>
      <c r="B181" s="1" t="n">
        <v>45953</v>
      </c>
      <c r="C181" s="1" t="n">
        <v>46203</v>
      </c>
      <c r="D181" t="inlineStr">
        <is>
          <t>BLEKINGE LÄN</t>
        </is>
      </c>
      <c r="E181" t="inlineStr">
        <is>
          <t>KARLSHAMN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16905-2026</t>
        </is>
      </c>
      <c r="B182" s="1" t="n">
        <v>46113</v>
      </c>
      <c r="C182" s="1" t="n">
        <v>46203</v>
      </c>
      <c r="D182" t="inlineStr">
        <is>
          <t>BLEKINGE LÄN</t>
        </is>
      </c>
      <c r="E182" t="inlineStr">
        <is>
          <t>KARLSHAMN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16909-2026</t>
        </is>
      </c>
      <c r="B183" s="1" t="n">
        <v>46113</v>
      </c>
      <c r="C183" s="1" t="n">
        <v>46203</v>
      </c>
      <c r="D183" t="inlineStr">
        <is>
          <t>BLEKINGE LÄN</t>
        </is>
      </c>
      <c r="E183" t="inlineStr">
        <is>
          <t>KARLSHAMN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16901-2026</t>
        </is>
      </c>
      <c r="B184" s="1" t="n">
        <v>46113</v>
      </c>
      <c r="C184" s="1" t="n">
        <v>46203</v>
      </c>
      <c r="D184" t="inlineStr">
        <is>
          <t>BLEKINGE LÄN</t>
        </is>
      </c>
      <c r="E184" t="inlineStr">
        <is>
          <t>KARLSHAMN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23055-2026</t>
        </is>
      </c>
      <c r="B185" s="1" t="n">
        <v>46161</v>
      </c>
      <c r="C185" s="1" t="n">
        <v>46203</v>
      </c>
      <c r="D185" t="inlineStr">
        <is>
          <t>BLEKINGE LÄN</t>
        </is>
      </c>
      <c r="E185" t="inlineStr">
        <is>
          <t>KARLSHAMN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24380-2024</t>
        </is>
      </c>
      <c r="B186" s="1" t="n">
        <v>45457</v>
      </c>
      <c r="C186" s="1" t="n">
        <v>46203</v>
      </c>
      <c r="D186" t="inlineStr">
        <is>
          <t>BLEKINGE LÄN</t>
        </is>
      </c>
      <c r="E186" t="inlineStr">
        <is>
          <t>KARLSHAMN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2567-2023</t>
        </is>
      </c>
      <c r="B187" s="1" t="n">
        <v>44943</v>
      </c>
      <c r="C187" s="1" t="n">
        <v>46203</v>
      </c>
      <c r="D187" t="inlineStr">
        <is>
          <t>BLEKINGE LÄN</t>
        </is>
      </c>
      <c r="E187" t="inlineStr">
        <is>
          <t>KARLSHAMN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59573-2023</t>
        </is>
      </c>
      <c r="B188" s="1" t="n">
        <v>45254</v>
      </c>
      <c r="C188" s="1" t="n">
        <v>46203</v>
      </c>
      <c r="D188" t="inlineStr">
        <is>
          <t>BLEKINGE LÄN</t>
        </is>
      </c>
      <c r="E188" t="inlineStr">
        <is>
          <t>KARLSHAMN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35271-2022</t>
        </is>
      </c>
      <c r="B189" s="1" t="n">
        <v>44797</v>
      </c>
      <c r="C189" s="1" t="n">
        <v>46203</v>
      </c>
      <c r="D189" t="inlineStr">
        <is>
          <t>BLEKINGE LÄN</t>
        </is>
      </c>
      <c r="E189" t="inlineStr">
        <is>
          <t>KARLSHAMN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38980-2023</t>
        </is>
      </c>
      <c r="B190" s="1" t="n">
        <v>45163</v>
      </c>
      <c r="C190" s="1" t="n">
        <v>46203</v>
      </c>
      <c r="D190" t="inlineStr">
        <is>
          <t>BLEKINGE LÄN</t>
        </is>
      </c>
      <c r="E190" t="inlineStr">
        <is>
          <t>KARLSHAMN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13847-2022</t>
        </is>
      </c>
      <c r="B191" s="1" t="n">
        <v>44649</v>
      </c>
      <c r="C191" s="1" t="n">
        <v>46203</v>
      </c>
      <c r="D191" t="inlineStr">
        <is>
          <t>BLEKINGE LÄN</t>
        </is>
      </c>
      <c r="E191" t="inlineStr">
        <is>
          <t>KARLSHAMN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23715-2026</t>
        </is>
      </c>
      <c r="B192" s="1" t="n">
        <v>46164</v>
      </c>
      <c r="C192" s="1" t="n">
        <v>46203</v>
      </c>
      <c r="D192" t="inlineStr">
        <is>
          <t>BLEKINGE LÄN</t>
        </is>
      </c>
      <c r="E192" t="inlineStr">
        <is>
          <t>KARLSHAMN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17768-2026</t>
        </is>
      </c>
      <c r="B193" s="1" t="n">
        <v>46122</v>
      </c>
      <c r="C193" s="1" t="n">
        <v>46203</v>
      </c>
      <c r="D193" t="inlineStr">
        <is>
          <t>BLEKINGE LÄN</t>
        </is>
      </c>
      <c r="E193" t="inlineStr">
        <is>
          <t>KARLSHAMN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23710-2026</t>
        </is>
      </c>
      <c r="B194" s="1" t="n">
        <v>46164</v>
      </c>
      <c r="C194" s="1" t="n">
        <v>46203</v>
      </c>
      <c r="D194" t="inlineStr">
        <is>
          <t>BLEKINGE LÄN</t>
        </is>
      </c>
      <c r="E194" t="inlineStr">
        <is>
          <t>KARLSHAMN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23698-2026</t>
        </is>
      </c>
      <c r="B195" s="1" t="n">
        <v>46164</v>
      </c>
      <c r="C195" s="1" t="n">
        <v>46203</v>
      </c>
      <c r="D195" t="inlineStr">
        <is>
          <t>BLEKINGE LÄN</t>
        </is>
      </c>
      <c r="E195" t="inlineStr">
        <is>
          <t>KARLSHAMN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23699-2026</t>
        </is>
      </c>
      <c r="B196" s="1" t="n">
        <v>46164</v>
      </c>
      <c r="C196" s="1" t="n">
        <v>46203</v>
      </c>
      <c r="D196" t="inlineStr">
        <is>
          <t>BLEKINGE LÄN</t>
        </is>
      </c>
      <c r="E196" t="inlineStr">
        <is>
          <t>KARLSHAMN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17440-2023</t>
        </is>
      </c>
      <c r="B197" s="1" t="n">
        <v>45035</v>
      </c>
      <c r="C197" s="1" t="n">
        <v>46203</v>
      </c>
      <c r="D197" t="inlineStr">
        <is>
          <t>BLEKINGE LÄN</t>
        </is>
      </c>
      <c r="E197" t="inlineStr">
        <is>
          <t>KARLSHAMN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24603-2026</t>
        </is>
      </c>
      <c r="B198" s="1" t="n">
        <v>46170</v>
      </c>
      <c r="C198" s="1" t="n">
        <v>46203</v>
      </c>
      <c r="D198" t="inlineStr">
        <is>
          <t>BLEKINGE LÄN</t>
        </is>
      </c>
      <c r="E198" t="inlineStr">
        <is>
          <t>KARLSHAMN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24472-2026</t>
        </is>
      </c>
      <c r="B199" s="1" t="n">
        <v>46170</v>
      </c>
      <c r="C199" s="1" t="n">
        <v>46203</v>
      </c>
      <c r="D199" t="inlineStr">
        <is>
          <t>BLEKINGE LÄN</t>
        </is>
      </c>
      <c r="E199" t="inlineStr">
        <is>
          <t>KARLSHAMN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24531-2026</t>
        </is>
      </c>
      <c r="B200" s="1" t="n">
        <v>46170</v>
      </c>
      <c r="C200" s="1" t="n">
        <v>46203</v>
      </c>
      <c r="D200" t="inlineStr">
        <is>
          <t>BLEKINGE LÄN</t>
        </is>
      </c>
      <c r="E200" t="inlineStr">
        <is>
          <t>KARLSHAMN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37124-2021</t>
        </is>
      </c>
      <c r="B201" s="1" t="n">
        <v>44395</v>
      </c>
      <c r="C201" s="1" t="n">
        <v>46203</v>
      </c>
      <c r="D201" t="inlineStr">
        <is>
          <t>BLEKINGE LÄN</t>
        </is>
      </c>
      <c r="E201" t="inlineStr">
        <is>
          <t>KARLSHAMN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35625-2023</t>
        </is>
      </c>
      <c r="B202" s="1" t="n">
        <v>45147</v>
      </c>
      <c r="C202" s="1" t="n">
        <v>46203</v>
      </c>
      <c r="D202" t="inlineStr">
        <is>
          <t>BLEKINGE LÄN</t>
        </is>
      </c>
      <c r="E202" t="inlineStr">
        <is>
          <t>KARLSHAMN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25034-2026</t>
        </is>
      </c>
      <c r="B203" s="1" t="n">
        <v>46174</v>
      </c>
      <c r="C203" s="1" t="n">
        <v>46203</v>
      </c>
      <c r="D203" t="inlineStr">
        <is>
          <t>BLEKINGE LÄN</t>
        </is>
      </c>
      <c r="E203" t="inlineStr">
        <is>
          <t>KARLSHAMN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10902-2025</t>
        </is>
      </c>
      <c r="B204" s="1" t="n">
        <v>45722</v>
      </c>
      <c r="C204" s="1" t="n">
        <v>46203</v>
      </c>
      <c r="D204" t="inlineStr">
        <is>
          <t>BLEKINGE LÄN</t>
        </is>
      </c>
      <c r="E204" t="inlineStr">
        <is>
          <t>KARLSHAMN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58379-2024</t>
        </is>
      </c>
      <c r="B205" s="1" t="n">
        <v>45632</v>
      </c>
      <c r="C205" s="1" t="n">
        <v>46203</v>
      </c>
      <c r="D205" t="inlineStr">
        <is>
          <t>BLEKINGE LÄN</t>
        </is>
      </c>
      <c r="E205" t="inlineStr">
        <is>
          <t>KARLSHAMN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24602-2026</t>
        </is>
      </c>
      <c r="B206" s="1" t="n">
        <v>46170</v>
      </c>
      <c r="C206" s="1" t="n">
        <v>46203</v>
      </c>
      <c r="D206" t="inlineStr">
        <is>
          <t>BLEKINGE LÄN</t>
        </is>
      </c>
      <c r="E206" t="inlineStr">
        <is>
          <t>KARLSHAMN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35828-2023</t>
        </is>
      </c>
      <c r="B207" s="1" t="n">
        <v>45148</v>
      </c>
      <c r="C207" s="1" t="n">
        <v>46203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24487-2026</t>
        </is>
      </c>
      <c r="B208" s="1" t="n">
        <v>46170</v>
      </c>
      <c r="C208" s="1" t="n">
        <v>46203</v>
      </c>
      <c r="D208" t="inlineStr">
        <is>
          <t>BLEKINGE LÄN</t>
        </is>
      </c>
      <c r="E208" t="inlineStr">
        <is>
          <t>KARLSHAMN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24604-2026</t>
        </is>
      </c>
      <c r="B209" s="1" t="n">
        <v>46170</v>
      </c>
      <c r="C209" s="1" t="n">
        <v>46203</v>
      </c>
      <c r="D209" t="inlineStr">
        <is>
          <t>BLEKINGE LÄN</t>
        </is>
      </c>
      <c r="E209" t="inlineStr">
        <is>
          <t>KARLSHAMN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21811-2023</t>
        </is>
      </c>
      <c r="B210" s="1" t="n">
        <v>45068</v>
      </c>
      <c r="C210" s="1" t="n">
        <v>46203</v>
      </c>
      <c r="D210" t="inlineStr">
        <is>
          <t>BLEKINGE LÄN</t>
        </is>
      </c>
      <c r="E210" t="inlineStr">
        <is>
          <t>KARLSHAMN</t>
        </is>
      </c>
      <c r="F210" t="inlineStr">
        <is>
          <t>Kommuner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34305-2023</t>
        </is>
      </c>
      <c r="B211" s="1" t="n">
        <v>45138</v>
      </c>
      <c r="C211" s="1" t="n">
        <v>46203</v>
      </c>
      <c r="D211" t="inlineStr">
        <is>
          <t>BLEKINGE LÄN</t>
        </is>
      </c>
      <c r="E211" t="inlineStr">
        <is>
          <t>KARLSHAMN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34470-2025</t>
        </is>
      </c>
      <c r="B212" s="1" t="n">
        <v>45846</v>
      </c>
      <c r="C212" s="1" t="n">
        <v>46203</v>
      </c>
      <c r="D212" t="inlineStr">
        <is>
          <t>BLEKINGE LÄN</t>
        </is>
      </c>
      <c r="E212" t="inlineStr">
        <is>
          <t>KARLSHAMN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14816-2025</t>
        </is>
      </c>
      <c r="B213" s="1" t="n">
        <v>45743</v>
      </c>
      <c r="C213" s="1" t="n">
        <v>46203</v>
      </c>
      <c r="D213" t="inlineStr">
        <is>
          <t>BLEKINGE LÄN</t>
        </is>
      </c>
      <c r="E213" t="inlineStr">
        <is>
          <t>KARLSHAMN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38515-2025</t>
        </is>
      </c>
      <c r="B214" s="1" t="n">
        <v>45884</v>
      </c>
      <c r="C214" s="1" t="n">
        <v>46203</v>
      </c>
      <c r="D214" t="inlineStr">
        <is>
          <t>BLEKINGE LÄN</t>
        </is>
      </c>
      <c r="E214" t="inlineStr">
        <is>
          <t>KARLSHAMN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56512-2025</t>
        </is>
      </c>
      <c r="B215" s="1" t="n">
        <v>45975</v>
      </c>
      <c r="C215" s="1" t="n">
        <v>46203</v>
      </c>
      <c r="D215" t="inlineStr">
        <is>
          <t>BLEKINGE LÄN</t>
        </is>
      </c>
      <c r="E215" t="inlineStr">
        <is>
          <t>KARLSHAMN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38217-2022</t>
        </is>
      </c>
      <c r="B216" s="1" t="n">
        <v>44812</v>
      </c>
      <c r="C216" s="1" t="n">
        <v>46203</v>
      </c>
      <c r="D216" t="inlineStr">
        <is>
          <t>BLEKINGE LÄN</t>
        </is>
      </c>
      <c r="E216" t="inlineStr">
        <is>
          <t>KARLSHAMN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44951-2025</t>
        </is>
      </c>
      <c r="B217" s="1" t="n">
        <v>45918</v>
      </c>
      <c r="C217" s="1" t="n">
        <v>46203</v>
      </c>
      <c r="D217" t="inlineStr">
        <is>
          <t>BLEKINGE LÄN</t>
        </is>
      </c>
      <c r="E217" t="inlineStr">
        <is>
          <t>KARLSHAMN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38518-2025</t>
        </is>
      </c>
      <c r="B218" s="1" t="n">
        <v>45884</v>
      </c>
      <c r="C218" s="1" t="n">
        <v>46203</v>
      </c>
      <c r="D218" t="inlineStr">
        <is>
          <t>BLEKINGE LÄN</t>
        </is>
      </c>
      <c r="E218" t="inlineStr">
        <is>
          <t>KARLSHAMN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34673-2025</t>
        </is>
      </c>
      <c r="B219" s="1" t="n">
        <v>45848</v>
      </c>
      <c r="C219" s="1" t="n">
        <v>46203</v>
      </c>
      <c r="D219" t="inlineStr">
        <is>
          <t>BLEKINGE LÄN</t>
        </is>
      </c>
      <c r="E219" t="inlineStr">
        <is>
          <t>KARLSHAMN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9906-2025</t>
        </is>
      </c>
      <c r="B220" s="1" t="n">
        <v>45717</v>
      </c>
      <c r="C220" s="1" t="n">
        <v>46203</v>
      </c>
      <c r="D220" t="inlineStr">
        <is>
          <t>BLEKINGE LÄN</t>
        </is>
      </c>
      <c r="E220" t="inlineStr">
        <is>
          <t>KARLSHAMN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45052-2025</t>
        </is>
      </c>
      <c r="B221" s="1" t="n">
        <v>45919</v>
      </c>
      <c r="C221" s="1" t="n">
        <v>46203</v>
      </c>
      <c r="D221" t="inlineStr">
        <is>
          <t>BLEKINGE LÄN</t>
        </is>
      </c>
      <c r="E221" t="inlineStr">
        <is>
          <t>KARLSHAMN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9775-2025</t>
        </is>
      </c>
      <c r="B222" s="1" t="n">
        <v>45716</v>
      </c>
      <c r="C222" s="1" t="n">
        <v>46203</v>
      </c>
      <c r="D222" t="inlineStr">
        <is>
          <t>BLEKINGE LÄN</t>
        </is>
      </c>
      <c r="E222" t="inlineStr">
        <is>
          <t>KARLSHAMN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36270-2023</t>
        </is>
      </c>
      <c r="B223" s="1" t="n">
        <v>45151</v>
      </c>
      <c r="C223" s="1" t="n">
        <v>46203</v>
      </c>
      <c r="D223" t="inlineStr">
        <is>
          <t>BLEKINGE LÄN</t>
        </is>
      </c>
      <c r="E223" t="inlineStr">
        <is>
          <t>KARLSHAMN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39901-2024</t>
        </is>
      </c>
      <c r="B224" s="1" t="n">
        <v>45553</v>
      </c>
      <c r="C224" s="1" t="n">
        <v>46203</v>
      </c>
      <c r="D224" t="inlineStr">
        <is>
          <t>BLEKINGE LÄN</t>
        </is>
      </c>
      <c r="E224" t="inlineStr">
        <is>
          <t>KARLSHAMN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47791-2024</t>
        </is>
      </c>
      <c r="B225" s="1" t="n">
        <v>45588</v>
      </c>
      <c r="C225" s="1" t="n">
        <v>46203</v>
      </c>
      <c r="D225" t="inlineStr">
        <is>
          <t>BLEKINGE LÄN</t>
        </is>
      </c>
      <c r="E225" t="inlineStr">
        <is>
          <t>KARLSHAMN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40569-2022</t>
        </is>
      </c>
      <c r="B226" s="1" t="n">
        <v>44823</v>
      </c>
      <c r="C226" s="1" t="n">
        <v>46203</v>
      </c>
      <c r="D226" t="inlineStr">
        <is>
          <t>BLEKINGE LÄN</t>
        </is>
      </c>
      <c r="E226" t="inlineStr">
        <is>
          <t>KARLSHAMN</t>
        </is>
      </c>
      <c r="G226" t="n">
        <v>6.5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41994-2022</t>
        </is>
      </c>
      <c r="B227" s="1" t="n">
        <v>44827</v>
      </c>
      <c r="C227" s="1" t="n">
        <v>46203</v>
      </c>
      <c r="D227" t="inlineStr">
        <is>
          <t>BLEKINGE LÄN</t>
        </is>
      </c>
      <c r="E227" t="inlineStr">
        <is>
          <t>KARLSHAMN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4654-2025</t>
        </is>
      </c>
      <c r="B228" s="1" t="n">
        <v>45687</v>
      </c>
      <c r="C228" s="1" t="n">
        <v>46203</v>
      </c>
      <c r="D228" t="inlineStr">
        <is>
          <t>BLEKINGE LÄN</t>
        </is>
      </c>
      <c r="E228" t="inlineStr">
        <is>
          <t>KARLSHAMN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54591-2024</t>
        </is>
      </c>
      <c r="B229" s="1" t="n">
        <v>45617</v>
      </c>
      <c r="C229" s="1" t="n">
        <v>46203</v>
      </c>
      <c r="D229" t="inlineStr">
        <is>
          <t>BLEKINGE LÄN</t>
        </is>
      </c>
      <c r="E229" t="inlineStr">
        <is>
          <t>KARLSHAMN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45566-2022</t>
        </is>
      </c>
      <c r="B230" s="1" t="n">
        <v>44845</v>
      </c>
      <c r="C230" s="1" t="n">
        <v>46203</v>
      </c>
      <c r="D230" t="inlineStr">
        <is>
          <t>BLEKINGE LÄN</t>
        </is>
      </c>
      <c r="E230" t="inlineStr">
        <is>
          <t>KARLSHAMN</t>
        </is>
      </c>
      <c r="G230" t="n">
        <v>0.2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22814-2025</t>
        </is>
      </c>
      <c r="B231" s="1" t="n">
        <v>45789</v>
      </c>
      <c r="C231" s="1" t="n">
        <v>46203</v>
      </c>
      <c r="D231" t="inlineStr">
        <is>
          <t>BLEKINGE LÄN</t>
        </is>
      </c>
      <c r="E231" t="inlineStr">
        <is>
          <t>KARLSHAMN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48843-2025</t>
        </is>
      </c>
      <c r="B232" s="1" t="n">
        <v>45937</v>
      </c>
      <c r="C232" s="1" t="n">
        <v>46203</v>
      </c>
      <c r="D232" t="inlineStr">
        <is>
          <t>BLEKINGE LÄN</t>
        </is>
      </c>
      <c r="E232" t="inlineStr">
        <is>
          <t>KARLSHAMN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26115-2026</t>
        </is>
      </c>
      <c r="B233" s="1" t="n">
        <v>46181</v>
      </c>
      <c r="C233" s="1" t="n">
        <v>46203</v>
      </c>
      <c r="D233" t="inlineStr">
        <is>
          <t>BLEKINGE LÄN</t>
        </is>
      </c>
      <c r="E233" t="inlineStr">
        <is>
          <t>KARLSHAMN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26087-2026</t>
        </is>
      </c>
      <c r="B234" s="1" t="n">
        <v>46181</v>
      </c>
      <c r="C234" s="1" t="n">
        <v>46203</v>
      </c>
      <c r="D234" t="inlineStr">
        <is>
          <t>BLEKINGE LÄN</t>
        </is>
      </c>
      <c r="E234" t="inlineStr">
        <is>
          <t>KARLSHAMN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18095-2023</t>
        </is>
      </c>
      <c r="B235" s="1" t="n">
        <v>45037</v>
      </c>
      <c r="C235" s="1" t="n">
        <v>46203</v>
      </c>
      <c r="D235" t="inlineStr">
        <is>
          <t>BLEKINGE LÄN</t>
        </is>
      </c>
      <c r="E235" t="inlineStr">
        <is>
          <t>KARLSHAMN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12572-2025</t>
        </is>
      </c>
      <c r="B236" s="1" t="n">
        <v>45732</v>
      </c>
      <c r="C236" s="1" t="n">
        <v>46203</v>
      </c>
      <c r="D236" t="inlineStr">
        <is>
          <t>BLEKINGE LÄN</t>
        </is>
      </c>
      <c r="E236" t="inlineStr">
        <is>
          <t>KARLSHAMN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25988-2026</t>
        </is>
      </c>
      <c r="B237" s="1" t="n">
        <v>46181</v>
      </c>
      <c r="C237" s="1" t="n">
        <v>46203</v>
      </c>
      <c r="D237" t="inlineStr">
        <is>
          <t>BLEKINGE LÄN</t>
        </is>
      </c>
      <c r="E237" t="inlineStr">
        <is>
          <t>KARLSHAMN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41310-2025</t>
        </is>
      </c>
      <c r="B238" s="1" t="n">
        <v>45898</v>
      </c>
      <c r="C238" s="1" t="n">
        <v>46203</v>
      </c>
      <c r="D238" t="inlineStr">
        <is>
          <t>BLEKINGE LÄN</t>
        </is>
      </c>
      <c r="E238" t="inlineStr">
        <is>
          <t>KARLSHAMN</t>
        </is>
      </c>
      <c r="F238" t="inlineStr">
        <is>
          <t>Sveaskog</t>
        </is>
      </c>
      <c r="G238" t="n">
        <v>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21543-2025</t>
        </is>
      </c>
      <c r="B239" s="1" t="n">
        <v>45782</v>
      </c>
      <c r="C239" s="1" t="n">
        <v>46203</v>
      </c>
      <c r="D239" t="inlineStr">
        <is>
          <t>BLEKINGE LÄN</t>
        </is>
      </c>
      <c r="E239" t="inlineStr">
        <is>
          <t>KARLSHAMN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24279-2023</t>
        </is>
      </c>
      <c r="B240" s="1" t="n">
        <v>45079</v>
      </c>
      <c r="C240" s="1" t="n">
        <v>46203</v>
      </c>
      <c r="D240" t="inlineStr">
        <is>
          <t>BLEKINGE LÄN</t>
        </is>
      </c>
      <c r="E240" t="inlineStr">
        <is>
          <t>KARLSHAMN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57678-2023</t>
        </is>
      </c>
      <c r="B241" s="1" t="n">
        <v>45246</v>
      </c>
      <c r="C241" s="1" t="n">
        <v>46203</v>
      </c>
      <c r="D241" t="inlineStr">
        <is>
          <t>BLEKINGE LÄN</t>
        </is>
      </c>
      <c r="E241" t="inlineStr">
        <is>
          <t>KARLSHAMN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57687-2023</t>
        </is>
      </c>
      <c r="B242" s="1" t="n">
        <v>45246</v>
      </c>
      <c r="C242" s="1" t="n">
        <v>46203</v>
      </c>
      <c r="D242" t="inlineStr">
        <is>
          <t>BLEKINGE LÄN</t>
        </is>
      </c>
      <c r="E242" t="inlineStr">
        <is>
          <t>KARLSHAMN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50129-2025</t>
        </is>
      </c>
      <c r="B243" s="1" t="n">
        <v>45943</v>
      </c>
      <c r="C243" s="1" t="n">
        <v>46203</v>
      </c>
      <c r="D243" t="inlineStr">
        <is>
          <t>BLEKINGE LÄN</t>
        </is>
      </c>
      <c r="E243" t="inlineStr">
        <is>
          <t>KARLSHAMN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50150-2025</t>
        </is>
      </c>
      <c r="B244" s="1" t="n">
        <v>45943</v>
      </c>
      <c r="C244" s="1" t="n">
        <v>46203</v>
      </c>
      <c r="D244" t="inlineStr">
        <is>
          <t>BLEKINGE LÄN</t>
        </is>
      </c>
      <c r="E244" t="inlineStr">
        <is>
          <t>KARLSHAMN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5736-2026</t>
        </is>
      </c>
      <c r="B245" s="1" t="n">
        <v>46051</v>
      </c>
      <c r="C245" s="1" t="n">
        <v>46203</v>
      </c>
      <c r="D245" t="inlineStr">
        <is>
          <t>BLEKINGE LÄN</t>
        </is>
      </c>
      <c r="E245" t="inlineStr">
        <is>
          <t>KARLSHAMN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27712-2026</t>
        </is>
      </c>
      <c r="B246" s="1" t="n">
        <v>46190</v>
      </c>
      <c r="C246" s="1" t="n">
        <v>46203</v>
      </c>
      <c r="D246" t="inlineStr">
        <is>
          <t>BLEKINGE LÄN</t>
        </is>
      </c>
      <c r="E246" t="inlineStr">
        <is>
          <t>KARLSHAMN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21586-2026</t>
        </is>
      </c>
      <c r="B247" s="1" t="n">
        <v>46149</v>
      </c>
      <c r="C247" s="1" t="n">
        <v>46203</v>
      </c>
      <c r="D247" t="inlineStr">
        <is>
          <t>BLEKINGE LÄN</t>
        </is>
      </c>
      <c r="E247" t="inlineStr">
        <is>
          <t>KARLSHAMN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62560-2022</t>
        </is>
      </c>
      <c r="B248" s="1" t="n">
        <v>44924</v>
      </c>
      <c r="C248" s="1" t="n">
        <v>46203</v>
      </c>
      <c r="D248" t="inlineStr">
        <is>
          <t>BLEKINGE LÄN</t>
        </is>
      </c>
      <c r="E248" t="inlineStr">
        <is>
          <t>KARLSHAMN</t>
        </is>
      </c>
      <c r="G248" t="n">
        <v>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27754-2026</t>
        </is>
      </c>
      <c r="B249" s="1" t="n">
        <v>46191</v>
      </c>
      <c r="C249" s="1" t="n">
        <v>46203</v>
      </c>
      <c r="D249" t="inlineStr">
        <is>
          <t>BLEKINGE LÄN</t>
        </is>
      </c>
      <c r="E249" t="inlineStr">
        <is>
          <t>KARLSHAMN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28320-2026</t>
        </is>
      </c>
      <c r="B250" s="1" t="n">
        <v>46196</v>
      </c>
      <c r="C250" s="1" t="n">
        <v>46203</v>
      </c>
      <c r="D250" t="inlineStr">
        <is>
          <t>BLEKINGE LÄN</t>
        </is>
      </c>
      <c r="E250" t="inlineStr">
        <is>
          <t>KARLSHAMN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34423-2025</t>
        </is>
      </c>
      <c r="B251" s="1" t="n">
        <v>45846</v>
      </c>
      <c r="C251" s="1" t="n">
        <v>46203</v>
      </c>
      <c r="D251" t="inlineStr">
        <is>
          <t>BLEKINGE LÄN</t>
        </is>
      </c>
      <c r="E251" t="inlineStr">
        <is>
          <t>KARLSHAMN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49688-2024</t>
        </is>
      </c>
      <c r="B252" s="1" t="n">
        <v>45596</v>
      </c>
      <c r="C252" s="1" t="n">
        <v>46203</v>
      </c>
      <c r="D252" t="inlineStr">
        <is>
          <t>BLEKINGE LÄN</t>
        </is>
      </c>
      <c r="E252" t="inlineStr">
        <is>
          <t>KARLSHAMN</t>
        </is>
      </c>
      <c r="G252" t="n">
        <v>10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49689-2024</t>
        </is>
      </c>
      <c r="B253" s="1" t="n">
        <v>45596</v>
      </c>
      <c r="C253" s="1" t="n">
        <v>46203</v>
      </c>
      <c r="D253" t="inlineStr">
        <is>
          <t>BLEKINGE LÄN</t>
        </is>
      </c>
      <c r="E253" t="inlineStr">
        <is>
          <t>KARLSHAMN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51169-2025</t>
        </is>
      </c>
      <c r="B254" s="1" t="n">
        <v>45947</v>
      </c>
      <c r="C254" s="1" t="n">
        <v>46203</v>
      </c>
      <c r="D254" t="inlineStr">
        <is>
          <t>BLEKINGE LÄN</t>
        </is>
      </c>
      <c r="E254" t="inlineStr">
        <is>
          <t>KARLSHAMN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4366-2026</t>
        </is>
      </c>
      <c r="B255" s="1" t="n">
        <v>46045</v>
      </c>
      <c r="C255" s="1" t="n">
        <v>46203</v>
      </c>
      <c r="D255" t="inlineStr">
        <is>
          <t>BLEKINGE LÄN</t>
        </is>
      </c>
      <c r="E255" t="inlineStr">
        <is>
          <t>KARLSHAMN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37454-2024</t>
        </is>
      </c>
      <c r="B256" s="1" t="n">
        <v>45540</v>
      </c>
      <c r="C256" s="1" t="n">
        <v>46203</v>
      </c>
      <c r="D256" t="inlineStr">
        <is>
          <t>BLEKINGE LÄN</t>
        </is>
      </c>
      <c r="E256" t="inlineStr">
        <is>
          <t>KARLSHAMN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17394-2025</t>
        </is>
      </c>
      <c r="B257" s="1" t="n">
        <v>45757</v>
      </c>
      <c r="C257" s="1" t="n">
        <v>46203</v>
      </c>
      <c r="D257" t="inlineStr">
        <is>
          <t>BLEKINGE LÄN</t>
        </is>
      </c>
      <c r="E257" t="inlineStr">
        <is>
          <t>KARLSHAMN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4359-2026</t>
        </is>
      </c>
      <c r="B258" s="1" t="n">
        <v>46045</v>
      </c>
      <c r="C258" s="1" t="n">
        <v>46203</v>
      </c>
      <c r="D258" t="inlineStr">
        <is>
          <t>BLEKINGE LÄN</t>
        </is>
      </c>
      <c r="E258" t="inlineStr">
        <is>
          <t>KARLSHAMN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19660-2025</t>
        </is>
      </c>
      <c r="B259" s="1" t="n">
        <v>45770</v>
      </c>
      <c r="C259" s="1" t="n">
        <v>46203</v>
      </c>
      <c r="D259" t="inlineStr">
        <is>
          <t>BLEKINGE LÄN</t>
        </is>
      </c>
      <c r="E259" t="inlineStr">
        <is>
          <t>KARLSHAMN</t>
        </is>
      </c>
      <c r="G259" t="n">
        <v>7.1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58015-2024</t>
        </is>
      </c>
      <c r="B260" s="1" t="n">
        <v>45631</v>
      </c>
      <c r="C260" s="1" t="n">
        <v>46203</v>
      </c>
      <c r="D260" t="inlineStr">
        <is>
          <t>BLEKINGE LÄN</t>
        </is>
      </c>
      <c r="E260" t="inlineStr">
        <is>
          <t>KARLSHAMN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5437-2023</t>
        </is>
      </c>
      <c r="B261" s="1" t="n">
        <v>44959</v>
      </c>
      <c r="C261" s="1" t="n">
        <v>46203</v>
      </c>
      <c r="D261" t="inlineStr">
        <is>
          <t>BLEKINGE LÄN</t>
        </is>
      </c>
      <c r="E261" t="inlineStr">
        <is>
          <t>KARLSHAMN</t>
        </is>
      </c>
      <c r="G261" t="n">
        <v>12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29246-2026</t>
        </is>
      </c>
      <c r="B262" s="1" t="n">
        <v>46202</v>
      </c>
      <c r="C262" s="1" t="n">
        <v>46203</v>
      </c>
      <c r="D262" t="inlineStr">
        <is>
          <t>BLEKINGE LÄN</t>
        </is>
      </c>
      <c r="E262" t="inlineStr">
        <is>
          <t>KARLSHAMN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25860-2023</t>
        </is>
      </c>
      <c r="B263" s="1" t="n">
        <v>45090</v>
      </c>
      <c r="C263" s="1" t="n">
        <v>46203</v>
      </c>
      <c r="D263" t="inlineStr">
        <is>
          <t>BLEKINGE LÄN</t>
        </is>
      </c>
      <c r="E263" t="inlineStr">
        <is>
          <t>KARLSHAMN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53194-2023</t>
        </is>
      </c>
      <c r="B264" s="1" t="n">
        <v>45229</v>
      </c>
      <c r="C264" s="1" t="n">
        <v>46203</v>
      </c>
      <c r="D264" t="inlineStr">
        <is>
          <t>BLEKINGE LÄN</t>
        </is>
      </c>
      <c r="E264" t="inlineStr">
        <is>
          <t>KARLSHAMN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29248-2026</t>
        </is>
      </c>
      <c r="B265" s="1" t="n">
        <v>46202</v>
      </c>
      <c r="C265" s="1" t="n">
        <v>46203</v>
      </c>
      <c r="D265" t="inlineStr">
        <is>
          <t>BLEKINGE LÄN</t>
        </is>
      </c>
      <c r="E265" t="inlineStr">
        <is>
          <t>KARLSHAMN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54854-2023</t>
        </is>
      </c>
      <c r="B266" s="1" t="n">
        <v>45236</v>
      </c>
      <c r="C266" s="1" t="n">
        <v>46203</v>
      </c>
      <c r="D266" t="inlineStr">
        <is>
          <t>BLEKINGE LÄN</t>
        </is>
      </c>
      <c r="E266" t="inlineStr">
        <is>
          <t>KARLSHAMN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39404-2023</t>
        </is>
      </c>
      <c r="B267" s="1" t="n">
        <v>45166</v>
      </c>
      <c r="C267" s="1" t="n">
        <v>46203</v>
      </c>
      <c r="D267" t="inlineStr">
        <is>
          <t>BLEKINGE LÄN</t>
        </is>
      </c>
      <c r="E267" t="inlineStr">
        <is>
          <t>KARLSHAMN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1214-2023</t>
        </is>
      </c>
      <c r="B268" s="1" t="n">
        <v>44935</v>
      </c>
      <c r="C268" s="1" t="n">
        <v>46203</v>
      </c>
      <c r="D268" t="inlineStr">
        <is>
          <t>BLEKINGE LÄN</t>
        </is>
      </c>
      <c r="E268" t="inlineStr">
        <is>
          <t>KARLSHAMN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35821-2023</t>
        </is>
      </c>
      <c r="B269" s="1" t="n">
        <v>45148</v>
      </c>
      <c r="C269" s="1" t="n">
        <v>46203</v>
      </c>
      <c r="D269" t="inlineStr">
        <is>
          <t>BLEKINGE LÄN</t>
        </is>
      </c>
      <c r="E269" t="inlineStr">
        <is>
          <t>KARLSHAMN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66267-2021</t>
        </is>
      </c>
      <c r="B270" s="1" t="n">
        <v>44518</v>
      </c>
      <c r="C270" s="1" t="n">
        <v>46203</v>
      </c>
      <c r="D270" t="inlineStr">
        <is>
          <t>BLEKINGE LÄN</t>
        </is>
      </c>
      <c r="E270" t="inlineStr">
        <is>
          <t>KARLSHAMN</t>
        </is>
      </c>
      <c r="F270" t="inlineStr">
        <is>
          <t>Sveaskog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11721-2024</t>
        </is>
      </c>
      <c r="B271" s="1" t="n">
        <v>45373</v>
      </c>
      <c r="C271" s="1" t="n">
        <v>46203</v>
      </c>
      <c r="D271" t="inlineStr">
        <is>
          <t>BLEKINGE LÄN</t>
        </is>
      </c>
      <c r="E271" t="inlineStr">
        <is>
          <t>KARLSHAMN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56506-2021</t>
        </is>
      </c>
      <c r="B272" s="1" t="n">
        <v>44480</v>
      </c>
      <c r="C272" s="1" t="n">
        <v>46203</v>
      </c>
      <c r="D272" t="inlineStr">
        <is>
          <t>BLEKINGE LÄN</t>
        </is>
      </c>
      <c r="E272" t="inlineStr">
        <is>
          <t>KARLSHAMN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33557-2024</t>
        </is>
      </c>
      <c r="B273" s="1" t="n">
        <v>45519</v>
      </c>
      <c r="C273" s="1" t="n">
        <v>46203</v>
      </c>
      <c r="D273" t="inlineStr">
        <is>
          <t>BLEKINGE LÄN</t>
        </is>
      </c>
      <c r="E273" t="inlineStr">
        <is>
          <t>KARLSHAMN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49719-2023</t>
        </is>
      </c>
      <c r="B274" s="1" t="n">
        <v>45212</v>
      </c>
      <c r="C274" s="1" t="n">
        <v>46203</v>
      </c>
      <c r="D274" t="inlineStr">
        <is>
          <t>BLEKINGE LÄN</t>
        </is>
      </c>
      <c r="E274" t="inlineStr">
        <is>
          <t>KARLSHAMN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31263-2023</t>
        </is>
      </c>
      <c r="B275" s="1" t="n">
        <v>45114</v>
      </c>
      <c r="C275" s="1" t="n">
        <v>46203</v>
      </c>
      <c r="D275" t="inlineStr">
        <is>
          <t>BLEKINGE LÄN</t>
        </is>
      </c>
      <c r="E275" t="inlineStr">
        <is>
          <t>KARLSHAMN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19544-2024</t>
        </is>
      </c>
      <c r="B276" s="1" t="n">
        <v>45429</v>
      </c>
      <c r="C276" s="1" t="n">
        <v>46203</v>
      </c>
      <c r="D276" t="inlineStr">
        <is>
          <t>BLEKINGE LÄN</t>
        </is>
      </c>
      <c r="E276" t="inlineStr">
        <is>
          <t>KARLSHAMN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14136-2023</t>
        </is>
      </c>
      <c r="B277" s="1" t="n">
        <v>45009</v>
      </c>
      <c r="C277" s="1" t="n">
        <v>46203</v>
      </c>
      <c r="D277" t="inlineStr">
        <is>
          <t>BLEKINGE LÄN</t>
        </is>
      </c>
      <c r="E277" t="inlineStr">
        <is>
          <t>KARLSHAMN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45885-2024</t>
        </is>
      </c>
      <c r="B278" s="1" t="n">
        <v>45580</v>
      </c>
      <c r="C278" s="1" t="n">
        <v>46203</v>
      </c>
      <c r="D278" t="inlineStr">
        <is>
          <t>BLEKINGE LÄN</t>
        </is>
      </c>
      <c r="E278" t="inlineStr">
        <is>
          <t>KARLSHAMN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42371-2023</t>
        </is>
      </c>
      <c r="B279" s="1" t="n">
        <v>45180</v>
      </c>
      <c r="C279" s="1" t="n">
        <v>46203</v>
      </c>
      <c r="D279" t="inlineStr">
        <is>
          <t>BLEKINGE LÄN</t>
        </is>
      </c>
      <c r="E279" t="inlineStr">
        <is>
          <t>KARLSHAMN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20285-2023</t>
        </is>
      </c>
      <c r="B280" s="1" t="n">
        <v>45056</v>
      </c>
      <c r="C280" s="1" t="n">
        <v>46203</v>
      </c>
      <c r="D280" t="inlineStr">
        <is>
          <t>BLEKINGE LÄN</t>
        </is>
      </c>
      <c r="E280" t="inlineStr">
        <is>
          <t>KARLSHAMN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1036-2022</t>
        </is>
      </c>
      <c r="B281" s="1" t="n">
        <v>44571</v>
      </c>
      <c r="C281" s="1" t="n">
        <v>46203</v>
      </c>
      <c r="D281" t="inlineStr">
        <is>
          <t>BLEKINGE LÄN</t>
        </is>
      </c>
      <c r="E281" t="inlineStr">
        <is>
          <t>KARLSHAMN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57936-2024</t>
        </is>
      </c>
      <c r="B282" s="1" t="n">
        <v>45631</v>
      </c>
      <c r="C282" s="1" t="n">
        <v>46203</v>
      </c>
      <c r="D282" t="inlineStr">
        <is>
          <t>BLEKINGE LÄN</t>
        </is>
      </c>
      <c r="E282" t="inlineStr">
        <is>
          <t>KARLSHAMN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58986-2024</t>
        </is>
      </c>
      <c r="B283" s="1" t="n">
        <v>45636</v>
      </c>
      <c r="C283" s="1" t="n">
        <v>46203</v>
      </c>
      <c r="D283" t="inlineStr">
        <is>
          <t>BLEKINGE LÄN</t>
        </is>
      </c>
      <c r="E283" t="inlineStr">
        <is>
          <t>KARLSHAMN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10692-2022</t>
        </is>
      </c>
      <c r="B284" s="1" t="n">
        <v>44624</v>
      </c>
      <c r="C284" s="1" t="n">
        <v>46203</v>
      </c>
      <c r="D284" t="inlineStr">
        <is>
          <t>BLEKINGE LÄN</t>
        </is>
      </c>
      <c r="E284" t="inlineStr">
        <is>
          <t>KARLSHAMN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18517-2022</t>
        </is>
      </c>
      <c r="B285" s="1" t="n">
        <v>44686</v>
      </c>
      <c r="C285" s="1" t="n">
        <v>46203</v>
      </c>
      <c r="D285" t="inlineStr">
        <is>
          <t>BLEKINGE LÄN</t>
        </is>
      </c>
      <c r="E285" t="inlineStr">
        <is>
          <t>KARLSHAMN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38793-2022</t>
        </is>
      </c>
      <c r="B286" s="1" t="n">
        <v>44816</v>
      </c>
      <c r="C286" s="1" t="n">
        <v>46203</v>
      </c>
      <c r="D286" t="inlineStr">
        <is>
          <t>BLEKINGE LÄN</t>
        </is>
      </c>
      <c r="E286" t="inlineStr">
        <is>
          <t>KARLSHAMN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29971-2023</t>
        </is>
      </c>
      <c r="B287" s="1" t="n">
        <v>45108</v>
      </c>
      <c r="C287" s="1" t="n">
        <v>46203</v>
      </c>
      <c r="D287" t="inlineStr">
        <is>
          <t>BLEKINGE LÄN</t>
        </is>
      </c>
      <c r="E287" t="inlineStr">
        <is>
          <t>KARLSHAMN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31289-2023</t>
        </is>
      </c>
      <c r="B288" s="1" t="n">
        <v>45114</v>
      </c>
      <c r="C288" s="1" t="n">
        <v>46203</v>
      </c>
      <c r="D288" t="inlineStr">
        <is>
          <t>BLEKINGE LÄN</t>
        </is>
      </c>
      <c r="E288" t="inlineStr">
        <is>
          <t>KARLSHAMN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51370-2023</t>
        </is>
      </c>
      <c r="B289" s="1" t="n">
        <v>45219</v>
      </c>
      <c r="C289" s="1" t="n">
        <v>46203</v>
      </c>
      <c r="D289" t="inlineStr">
        <is>
          <t>BLEKINGE LÄN</t>
        </is>
      </c>
      <c r="E289" t="inlineStr">
        <is>
          <t>KARLSHAMN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682-2022</t>
        </is>
      </c>
      <c r="B290" s="1" t="n">
        <v>44568</v>
      </c>
      <c r="C290" s="1" t="n">
        <v>46203</v>
      </c>
      <c r="D290" t="inlineStr">
        <is>
          <t>BLEKINGE LÄN</t>
        </is>
      </c>
      <c r="E290" t="inlineStr">
        <is>
          <t>KARLSHAMN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35832-2023</t>
        </is>
      </c>
      <c r="B291" s="1" t="n">
        <v>45148</v>
      </c>
      <c r="C291" s="1" t="n">
        <v>46203</v>
      </c>
      <c r="D291" t="inlineStr">
        <is>
          <t>BLEKINGE LÄN</t>
        </is>
      </c>
      <c r="E291" t="inlineStr">
        <is>
          <t>KARLSHAMN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33633-2023</t>
        </is>
      </c>
      <c r="B292" s="1" t="n">
        <v>45119</v>
      </c>
      <c r="C292" s="1" t="n">
        <v>46203</v>
      </c>
      <c r="D292" t="inlineStr">
        <is>
          <t>BLEKINGE LÄN</t>
        </is>
      </c>
      <c r="E292" t="inlineStr">
        <is>
          <t>KARLSHAMN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30302-2022</t>
        </is>
      </c>
      <c r="B293" s="1" t="n">
        <v>44760</v>
      </c>
      <c r="C293" s="1" t="n">
        <v>46203</v>
      </c>
      <c r="D293" t="inlineStr">
        <is>
          <t>BLEKINGE LÄN</t>
        </is>
      </c>
      <c r="E293" t="inlineStr">
        <is>
          <t>KARLSHAMN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1870-2024</t>
        </is>
      </c>
      <c r="B294" s="1" t="n">
        <v>45307</v>
      </c>
      <c r="C294" s="1" t="n">
        <v>46203</v>
      </c>
      <c r="D294" t="inlineStr">
        <is>
          <t>BLEKINGE LÄN</t>
        </is>
      </c>
      <c r="E294" t="inlineStr">
        <is>
          <t>KARLSHAMN</t>
        </is>
      </c>
      <c r="G294" t="n">
        <v>16.6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17649-2022</t>
        </is>
      </c>
      <c r="B295" s="1" t="n">
        <v>44680</v>
      </c>
      <c r="C295" s="1" t="n">
        <v>46203</v>
      </c>
      <c r="D295" t="inlineStr">
        <is>
          <t>BLEKINGE LÄN</t>
        </is>
      </c>
      <c r="E295" t="inlineStr">
        <is>
          <t>KARLSHAMN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16674-2025</t>
        </is>
      </c>
      <c r="B296" s="1" t="n">
        <v>45754</v>
      </c>
      <c r="C296" s="1" t="n">
        <v>46203</v>
      </c>
      <c r="D296" t="inlineStr">
        <is>
          <t>BLEKINGE LÄN</t>
        </is>
      </c>
      <c r="E296" t="inlineStr">
        <is>
          <t>KARLSHAMN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26274-2024</t>
        </is>
      </c>
      <c r="B297" s="1" t="n">
        <v>45468</v>
      </c>
      <c r="C297" s="1" t="n">
        <v>46203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44487-2023</t>
        </is>
      </c>
      <c r="B298" s="1" t="n">
        <v>45187</v>
      </c>
      <c r="C298" s="1" t="n">
        <v>46203</v>
      </c>
      <c r="D298" t="inlineStr">
        <is>
          <t>BLEKINGE LÄN</t>
        </is>
      </c>
      <c r="E298" t="inlineStr">
        <is>
          <t>KARLSHAMN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53118-2024</t>
        </is>
      </c>
      <c r="B299" s="1" t="n">
        <v>45611</v>
      </c>
      <c r="C299" s="1" t="n">
        <v>46203</v>
      </c>
      <c r="D299" t="inlineStr">
        <is>
          <t>BLEKINGE LÄN</t>
        </is>
      </c>
      <c r="E299" t="inlineStr">
        <is>
          <t>KARLSHAMN</t>
        </is>
      </c>
      <c r="G299" t="n">
        <v>7.2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21030-2024</t>
        </is>
      </c>
      <c r="B300" s="1" t="n">
        <v>45439</v>
      </c>
      <c r="C300" s="1" t="n">
        <v>46203</v>
      </c>
      <c r="D300" t="inlineStr">
        <is>
          <t>BLEKINGE LÄN</t>
        </is>
      </c>
      <c r="E300" t="inlineStr">
        <is>
          <t>KARLSHAMN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57559-2023</t>
        </is>
      </c>
      <c r="B301" s="1" t="n">
        <v>45243</v>
      </c>
      <c r="C301" s="1" t="n">
        <v>46203</v>
      </c>
      <c r="D301" t="inlineStr">
        <is>
          <t>BLEKINGE LÄN</t>
        </is>
      </c>
      <c r="E301" t="inlineStr">
        <is>
          <t>KARLSHAMN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52637-2023</t>
        </is>
      </c>
      <c r="B302" s="1" t="n">
        <v>45225</v>
      </c>
      <c r="C302" s="1" t="n">
        <v>46203</v>
      </c>
      <c r="D302" t="inlineStr">
        <is>
          <t>BLEKINGE LÄN</t>
        </is>
      </c>
      <c r="E302" t="inlineStr">
        <is>
          <t>KARLSHAMN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35211-2024</t>
        </is>
      </c>
      <c r="B303" s="1" t="n">
        <v>45530</v>
      </c>
      <c r="C303" s="1" t="n">
        <v>46203</v>
      </c>
      <c r="D303" t="inlineStr">
        <is>
          <t>BLEKINGE LÄN</t>
        </is>
      </c>
      <c r="E303" t="inlineStr">
        <is>
          <t>KARLSHAMN</t>
        </is>
      </c>
      <c r="G303" t="n">
        <v>16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45206-2022</t>
        </is>
      </c>
      <c r="B304" s="1" t="n">
        <v>44844</v>
      </c>
      <c r="C304" s="1" t="n">
        <v>46203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2369-2024</t>
        </is>
      </c>
      <c r="B305" s="1" t="n">
        <v>45310</v>
      </c>
      <c r="C305" s="1" t="n">
        <v>46203</v>
      </c>
      <c r="D305" t="inlineStr">
        <is>
          <t>BLEKINGE LÄN</t>
        </is>
      </c>
      <c r="E305" t="inlineStr">
        <is>
          <t>KARLSHAMN</t>
        </is>
      </c>
      <c r="F305" t="inlineStr">
        <is>
          <t>Kommuner</t>
        </is>
      </c>
      <c r="G305" t="n">
        <v>7.3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31130-2024</t>
        </is>
      </c>
      <c r="B306" s="1" t="n">
        <v>45502</v>
      </c>
      <c r="C306" s="1" t="n">
        <v>46203</v>
      </c>
      <c r="D306" t="inlineStr">
        <is>
          <t>BLEKINGE LÄN</t>
        </is>
      </c>
      <c r="E306" t="inlineStr">
        <is>
          <t>KARLSHAMN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38292-2022</t>
        </is>
      </c>
      <c r="B307" s="1" t="n">
        <v>44812</v>
      </c>
      <c r="C307" s="1" t="n">
        <v>46203</v>
      </c>
      <c r="D307" t="inlineStr">
        <is>
          <t>BLEKINGE LÄN</t>
        </is>
      </c>
      <c r="E307" t="inlineStr">
        <is>
          <t>KARLSHAMN</t>
        </is>
      </c>
      <c r="G307" t="n">
        <v>14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61956-2023</t>
        </is>
      </c>
      <c r="B308" s="1" t="n">
        <v>45266</v>
      </c>
      <c r="C308" s="1" t="n">
        <v>46203</v>
      </c>
      <c r="D308" t="inlineStr">
        <is>
          <t>BLEKINGE LÄN</t>
        </is>
      </c>
      <c r="E308" t="inlineStr">
        <is>
          <t>KARLSHAMN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52632-2023</t>
        </is>
      </c>
      <c r="B309" s="1" t="n">
        <v>45225</v>
      </c>
      <c r="C309" s="1" t="n">
        <v>46203</v>
      </c>
      <c r="D309" t="inlineStr">
        <is>
          <t>BLEKINGE LÄN</t>
        </is>
      </c>
      <c r="E309" t="inlineStr">
        <is>
          <t>KARLSHAMN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31394-2023</t>
        </is>
      </c>
      <c r="B310" s="1" t="n">
        <v>45104</v>
      </c>
      <c r="C310" s="1" t="n">
        <v>46203</v>
      </c>
      <c r="D310" t="inlineStr">
        <is>
          <t>BLEKINGE LÄN</t>
        </is>
      </c>
      <c r="E310" t="inlineStr">
        <is>
          <t>KARLSHAMN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42401-2024</t>
        </is>
      </c>
      <c r="B311" s="1" t="n">
        <v>45565</v>
      </c>
      <c r="C311" s="1" t="n">
        <v>46203</v>
      </c>
      <c r="D311" t="inlineStr">
        <is>
          <t>BLEKINGE LÄN</t>
        </is>
      </c>
      <c r="E311" t="inlineStr">
        <is>
          <t>KARLSHAMN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64195-2023</t>
        </is>
      </c>
      <c r="B312" s="1" t="n">
        <v>45279</v>
      </c>
      <c r="C312" s="1" t="n">
        <v>46203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68958-2021</t>
        </is>
      </c>
      <c r="B313" s="1" t="n">
        <v>44530</v>
      </c>
      <c r="C313" s="1" t="n">
        <v>46203</v>
      </c>
      <c r="D313" t="inlineStr">
        <is>
          <t>BLEKINGE LÄN</t>
        </is>
      </c>
      <c r="E313" t="inlineStr">
        <is>
          <t>KARLSHAMN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35081-2022</t>
        </is>
      </c>
      <c r="B314" s="1" t="n">
        <v>44797</v>
      </c>
      <c r="C314" s="1" t="n">
        <v>46203</v>
      </c>
      <c r="D314" t="inlineStr">
        <is>
          <t>BLEKINGE LÄN</t>
        </is>
      </c>
      <c r="E314" t="inlineStr">
        <is>
          <t>KARLSHAMN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51552-2021</t>
        </is>
      </c>
      <c r="B315" s="1" t="n">
        <v>44462</v>
      </c>
      <c r="C315" s="1" t="n">
        <v>46203</v>
      </c>
      <c r="D315" t="inlineStr">
        <is>
          <t>BLEKINGE LÄN</t>
        </is>
      </c>
      <c r="E315" t="inlineStr">
        <is>
          <t>KARLSHAMN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9605-2023</t>
        </is>
      </c>
      <c r="B316" s="1" t="n">
        <v>44983</v>
      </c>
      <c r="C316" s="1" t="n">
        <v>46203</v>
      </c>
      <c r="D316" t="inlineStr">
        <is>
          <t>BLEKINGE LÄN</t>
        </is>
      </c>
      <c r="E316" t="inlineStr">
        <is>
          <t>KARLSHAMN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26041-2023</t>
        </is>
      </c>
      <c r="B317" s="1" t="n">
        <v>45091</v>
      </c>
      <c r="C317" s="1" t="n">
        <v>46203</v>
      </c>
      <c r="D317" t="inlineStr">
        <is>
          <t>BLEKINGE LÄN</t>
        </is>
      </c>
      <c r="E317" t="inlineStr">
        <is>
          <t>KARLSHAMN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5172-2024</t>
        </is>
      </c>
      <c r="B318" s="1" t="n">
        <v>45330</v>
      </c>
      <c r="C318" s="1" t="n">
        <v>46203</v>
      </c>
      <c r="D318" t="inlineStr">
        <is>
          <t>BLEKINGE LÄN</t>
        </is>
      </c>
      <c r="E318" t="inlineStr">
        <is>
          <t>KARLSHAMN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24880-2022</t>
        </is>
      </c>
      <c r="B319" s="1" t="n">
        <v>44728</v>
      </c>
      <c r="C319" s="1" t="n">
        <v>46203</v>
      </c>
      <c r="D319" t="inlineStr">
        <is>
          <t>BLEKINGE LÄN</t>
        </is>
      </c>
      <c r="E319" t="inlineStr">
        <is>
          <t>KARLSHAMN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31038-2024</t>
        </is>
      </c>
      <c r="B320" s="1" t="n">
        <v>45501</v>
      </c>
      <c r="C320" s="1" t="n">
        <v>46203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62590-2023</t>
        </is>
      </c>
      <c r="B321" s="1" t="n">
        <v>45270</v>
      </c>
      <c r="C321" s="1" t="n">
        <v>46203</v>
      </c>
      <c r="D321" t="inlineStr">
        <is>
          <t>BLEKINGE LÄN</t>
        </is>
      </c>
      <c r="E321" t="inlineStr">
        <is>
          <t>KARLSHAMN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29443-2023</t>
        </is>
      </c>
      <c r="B322" s="1" t="n">
        <v>45106</v>
      </c>
      <c r="C322" s="1" t="n">
        <v>46203</v>
      </c>
      <c r="D322" t="inlineStr">
        <is>
          <t>BLEKINGE LÄN</t>
        </is>
      </c>
      <c r="E322" t="inlineStr">
        <is>
          <t>KARLSHAMN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51960-2024</t>
        </is>
      </c>
      <c r="B323" s="1" t="n">
        <v>45607</v>
      </c>
      <c r="C323" s="1" t="n">
        <v>46203</v>
      </c>
      <c r="D323" t="inlineStr">
        <is>
          <t>BLEKINGE LÄN</t>
        </is>
      </c>
      <c r="E323" t="inlineStr">
        <is>
          <t>KARLSHAMN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7658-2022</t>
        </is>
      </c>
      <c r="B324" s="1" t="n">
        <v>44607</v>
      </c>
      <c r="C324" s="1" t="n">
        <v>46203</v>
      </c>
      <c r="D324" t="inlineStr">
        <is>
          <t>BLEKINGE LÄN</t>
        </is>
      </c>
      <c r="E324" t="inlineStr">
        <is>
          <t>KARLSHAMN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27408-2022</t>
        </is>
      </c>
      <c r="B325" s="1" t="n">
        <v>44742</v>
      </c>
      <c r="C325" s="1" t="n">
        <v>46203</v>
      </c>
      <c r="D325" t="inlineStr">
        <is>
          <t>BLEKINGE LÄN</t>
        </is>
      </c>
      <c r="E325" t="inlineStr">
        <is>
          <t>KARLSHAMN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31266-2023</t>
        </is>
      </c>
      <c r="B326" s="1" t="n">
        <v>45114</v>
      </c>
      <c r="C326" s="1" t="n">
        <v>46203</v>
      </c>
      <c r="D326" t="inlineStr">
        <is>
          <t>BLEKINGE LÄN</t>
        </is>
      </c>
      <c r="E326" t="inlineStr">
        <is>
          <t>KARLSHAMN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687-2022</t>
        </is>
      </c>
      <c r="B327" s="1" t="n">
        <v>44568</v>
      </c>
      <c r="C327" s="1" t="n">
        <v>46203</v>
      </c>
      <c r="D327" t="inlineStr">
        <is>
          <t>BLEKINGE LÄN</t>
        </is>
      </c>
      <c r="E327" t="inlineStr">
        <is>
          <t>KARLSHAMN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31288-2023</t>
        </is>
      </c>
      <c r="B328" s="1" t="n">
        <v>45114</v>
      </c>
      <c r="C328" s="1" t="n">
        <v>46203</v>
      </c>
      <c r="D328" t="inlineStr">
        <is>
          <t>BLEKINGE LÄN</t>
        </is>
      </c>
      <c r="E328" t="inlineStr">
        <is>
          <t>KARLSHAMN</t>
        </is>
      </c>
      <c r="G328" t="n">
        <v>7.2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38721-2023</t>
        </is>
      </c>
      <c r="B329" s="1" t="n">
        <v>45163</v>
      </c>
      <c r="C329" s="1" t="n">
        <v>46203</v>
      </c>
      <c r="D329" t="inlineStr">
        <is>
          <t>BLEKINGE LÄN</t>
        </is>
      </c>
      <c r="E329" t="inlineStr">
        <is>
          <t>KARLSHAMN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16897-2023</t>
        </is>
      </c>
      <c r="B330" s="1" t="n">
        <v>45028</v>
      </c>
      <c r="C330" s="1" t="n">
        <v>46203</v>
      </c>
      <c r="D330" t="inlineStr">
        <is>
          <t>BLEKINGE LÄN</t>
        </is>
      </c>
      <c r="E330" t="inlineStr">
        <is>
          <t>KARLSHAMN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15208-2025</t>
        </is>
      </c>
      <c r="B331" s="1" t="n">
        <v>45744</v>
      </c>
      <c r="C331" s="1" t="n">
        <v>46203</v>
      </c>
      <c r="D331" t="inlineStr">
        <is>
          <t>BLEKINGE LÄN</t>
        </is>
      </c>
      <c r="E331" t="inlineStr">
        <is>
          <t>KARLSHAMN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11825-2024</t>
        </is>
      </c>
      <c r="B332" s="1" t="n">
        <v>45376</v>
      </c>
      <c r="C332" s="1" t="n">
        <v>46203</v>
      </c>
      <c r="D332" t="inlineStr">
        <is>
          <t>BLEKINGE LÄN</t>
        </is>
      </c>
      <c r="E332" t="inlineStr">
        <is>
          <t>KARLSHAMN</t>
        </is>
      </c>
      <c r="G332" t="n">
        <v>3.9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13879-2023</t>
        </is>
      </c>
      <c r="B333" s="1" t="n">
        <v>45007</v>
      </c>
      <c r="C333" s="1" t="n">
        <v>46203</v>
      </c>
      <c r="D333" t="inlineStr">
        <is>
          <t>BLEKINGE LÄN</t>
        </is>
      </c>
      <c r="E333" t="inlineStr">
        <is>
          <t>KARLSHAMN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25011-2024</t>
        </is>
      </c>
      <c r="B334" s="1" t="n">
        <v>45461</v>
      </c>
      <c r="C334" s="1" t="n">
        <v>46203</v>
      </c>
      <c r="D334" t="inlineStr">
        <is>
          <t>BLEKINGE LÄN</t>
        </is>
      </c>
      <c r="E334" t="inlineStr">
        <is>
          <t>KARLSHAMN</t>
        </is>
      </c>
      <c r="F334" t="inlineStr">
        <is>
          <t>Övriga Aktiebolag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2206-2024</t>
        </is>
      </c>
      <c r="B335" s="1" t="n">
        <v>45309</v>
      </c>
      <c r="C335" s="1" t="n">
        <v>46203</v>
      </c>
      <c r="D335" t="inlineStr">
        <is>
          <t>BLEKINGE LÄN</t>
        </is>
      </c>
      <c r="E335" t="inlineStr">
        <is>
          <t>KARLSHAMN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67970-2021</t>
        </is>
      </c>
      <c r="B336" s="1" t="n">
        <v>44525</v>
      </c>
      <c r="C336" s="1" t="n">
        <v>46203</v>
      </c>
      <c r="D336" t="inlineStr">
        <is>
          <t>BLEKINGE LÄN</t>
        </is>
      </c>
      <c r="E336" t="inlineStr">
        <is>
          <t>KARLSHAMN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21024-2024</t>
        </is>
      </c>
      <c r="B337" s="1" t="n">
        <v>45439</v>
      </c>
      <c r="C337" s="1" t="n">
        <v>46203</v>
      </c>
      <c r="D337" t="inlineStr">
        <is>
          <t>BLEKINGE LÄN</t>
        </is>
      </c>
      <c r="E337" t="inlineStr">
        <is>
          <t>KARLSHAMN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61962-2023</t>
        </is>
      </c>
      <c r="B338" s="1" t="n">
        <v>45266</v>
      </c>
      <c r="C338" s="1" t="n">
        <v>46203</v>
      </c>
      <c r="D338" t="inlineStr">
        <is>
          <t>BLEKINGE LÄN</t>
        </is>
      </c>
      <c r="E338" t="inlineStr">
        <is>
          <t>KARLSHAMN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55439-2023</t>
        </is>
      </c>
      <c r="B339" s="1" t="n">
        <v>45238</v>
      </c>
      <c r="C339" s="1" t="n">
        <v>46203</v>
      </c>
      <c r="D339" t="inlineStr">
        <is>
          <t>BLEKINGE LÄN</t>
        </is>
      </c>
      <c r="E339" t="inlineStr">
        <is>
          <t>KARLSHAMN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21810-2023</t>
        </is>
      </c>
      <c r="B340" s="1" t="n">
        <v>45068</v>
      </c>
      <c r="C340" s="1" t="n">
        <v>46203</v>
      </c>
      <c r="D340" t="inlineStr">
        <is>
          <t>BLEKINGE LÄN</t>
        </is>
      </c>
      <c r="E340" t="inlineStr">
        <is>
          <t>KARLSHAMN</t>
        </is>
      </c>
      <c r="F340" t="inlineStr">
        <is>
          <t>Kommuner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69511-2021</t>
        </is>
      </c>
      <c r="B341" s="1" t="n">
        <v>44531</v>
      </c>
      <c r="C341" s="1" t="n">
        <v>46203</v>
      </c>
      <c r="D341" t="inlineStr">
        <is>
          <t>BLEKINGE LÄN</t>
        </is>
      </c>
      <c r="E341" t="inlineStr">
        <is>
          <t>KARLSHAMN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69976-2021</t>
        </is>
      </c>
      <c r="B342" s="1" t="n">
        <v>44533</v>
      </c>
      <c r="C342" s="1" t="n">
        <v>46203</v>
      </c>
      <c r="D342" t="inlineStr">
        <is>
          <t>BLEKINGE LÄN</t>
        </is>
      </c>
      <c r="E342" t="inlineStr">
        <is>
          <t>KARLSHAMN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43235-2024</t>
        </is>
      </c>
      <c r="B343" s="1" t="n">
        <v>45567</v>
      </c>
      <c r="C343" s="1" t="n">
        <v>46203</v>
      </c>
      <c r="D343" t="inlineStr">
        <is>
          <t>BLEKINGE LÄN</t>
        </is>
      </c>
      <c r="E343" t="inlineStr">
        <is>
          <t>KARLSHAMN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22879-2023</t>
        </is>
      </c>
      <c r="B344" s="1" t="n">
        <v>45072</v>
      </c>
      <c r="C344" s="1" t="n">
        <v>46203</v>
      </c>
      <c r="D344" t="inlineStr">
        <is>
          <t>BLEKINGE LÄN</t>
        </is>
      </c>
      <c r="E344" t="inlineStr">
        <is>
          <t>KARLSHAMN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46466-2023</t>
        </is>
      </c>
      <c r="B345" s="1" t="n">
        <v>45197</v>
      </c>
      <c r="C345" s="1" t="n">
        <v>46203</v>
      </c>
      <c r="D345" t="inlineStr">
        <is>
          <t>BLEKINGE LÄN</t>
        </is>
      </c>
      <c r="E345" t="inlineStr">
        <is>
          <t>KARLSHAMN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5746-2023</t>
        </is>
      </c>
      <c r="B346" s="1" t="n">
        <v>44962</v>
      </c>
      <c r="C346" s="1" t="n">
        <v>46203</v>
      </c>
      <c r="D346" t="inlineStr">
        <is>
          <t>BLEKINGE LÄN</t>
        </is>
      </c>
      <c r="E346" t="inlineStr">
        <is>
          <t>KARLSHAMN</t>
        </is>
      </c>
      <c r="G346" t="n">
        <v>6.8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27698-2022</t>
        </is>
      </c>
      <c r="B347" s="1" t="n">
        <v>44743</v>
      </c>
      <c r="C347" s="1" t="n">
        <v>46203</v>
      </c>
      <c r="D347" t="inlineStr">
        <is>
          <t>BLEKINGE LÄN</t>
        </is>
      </c>
      <c r="E347" t="inlineStr">
        <is>
          <t>KARLSHAMN</t>
        </is>
      </c>
      <c r="F347" t="inlineStr">
        <is>
          <t>Kommuner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51369-2023</t>
        </is>
      </c>
      <c r="B348" s="1" t="n">
        <v>45219</v>
      </c>
      <c r="C348" s="1" t="n">
        <v>46203</v>
      </c>
      <c r="D348" t="inlineStr">
        <is>
          <t>BLEKINGE LÄN</t>
        </is>
      </c>
      <c r="E348" t="inlineStr">
        <is>
          <t>KARLSHAMN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36302-2023</t>
        </is>
      </c>
      <c r="B349" s="1" t="n">
        <v>45152</v>
      </c>
      <c r="C349" s="1" t="n">
        <v>46203</v>
      </c>
      <c r="D349" t="inlineStr">
        <is>
          <t>BLEKINGE LÄN</t>
        </is>
      </c>
      <c r="E349" t="inlineStr">
        <is>
          <t>KARLSHAMN</t>
        </is>
      </c>
      <c r="G349" t="n">
        <v>8.4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57796-2022</t>
        </is>
      </c>
      <c r="B350" s="1" t="n">
        <v>44897</v>
      </c>
      <c r="C350" s="1" t="n">
        <v>46203</v>
      </c>
      <c r="D350" t="inlineStr">
        <is>
          <t>BLEKINGE LÄN</t>
        </is>
      </c>
      <c r="E350" t="inlineStr">
        <is>
          <t>KARLSHAMN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33552-2023</t>
        </is>
      </c>
      <c r="B351" s="1" t="n">
        <v>45118</v>
      </c>
      <c r="C351" s="1" t="n">
        <v>46203</v>
      </c>
      <c r="D351" t="inlineStr">
        <is>
          <t>BLEKINGE LÄN</t>
        </is>
      </c>
      <c r="E351" t="inlineStr">
        <is>
          <t>KARLSHAMN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2026-06-30T00:53:48Z</dcterms:created>
  <dcterms:modified xmlns:dcterms="http://purl.org/dc/terms/" xmlns:xsi="http://www.w3.org/2001/XMLSchema-instance" xsi:type="dcterms:W3CDTF">2026-06-30T00:53:48Z</dcterms:modified>
</cp:coreProperties>
</file>