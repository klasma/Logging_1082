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46222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s="2" t="inlineStr">
        <is>
          <t>Ask
Småvänderot
Jungfrulin
Sommarfibbla
Svinrot
Fläcknycklar
Gullviva</t>
        </is>
      </c>
      <c r="V2">
        <f>HYPERLINK("https://klasma.github.io/Logging_1082/artfynd/A 57800-2022 artfynd.xlsx", "A 57800-2022")</f>
        <v/>
      </c>
      <c r="W2">
        <f>HYPERLINK("https://klasma.github.io/Logging_1082/kartor/A 57800-2022 karta.png", "A 57800-2022")</f>
        <v/>
      </c>
      <c r="Y2">
        <f>HYPERLINK("https://klasma.github.io/Logging_1082/klagomål/A 57800-2022 FSC-klagomål.docx", "A 57800-2022")</f>
        <v/>
      </c>
      <c r="Z2">
        <f>HYPERLINK("https://klasma.github.io/Logging_1082/klagomålsmail/A 57800-2022 FSC-klagomål mail.docx", "A 57800-2022")</f>
        <v/>
      </c>
      <c r="AA2">
        <f>HYPERLINK("https://klasma.github.io/Logging_1082/tillsyn/A 57800-2022 tillsynsbegäran.docx", "A 57800-2022")</f>
        <v/>
      </c>
      <c r="AB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46222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s="2" t="inlineStr">
        <is>
          <t>Ask
Gammelekslav
Oxtungssvamp
Skuggorangelav
Grå skärelav
Platt fjädermossa</t>
        </is>
      </c>
      <c r="V3">
        <f>HYPERLINK("https://klasma.github.io/Logging_1082/artfynd/A 40701-2023 artfynd.xlsx", "A 40701-2023")</f>
        <v/>
      </c>
      <c r="W3">
        <f>HYPERLINK("https://klasma.github.io/Logging_1082/kartor/A 40701-2023 karta.png", "A 40701-2023")</f>
        <v/>
      </c>
      <c r="Y3">
        <f>HYPERLINK("https://klasma.github.io/Logging_1082/klagomål/A 40701-2023 FSC-klagomål.docx", "A 40701-2023")</f>
        <v/>
      </c>
      <c r="Z3">
        <f>HYPERLINK("https://klasma.github.io/Logging_1082/klagomålsmail/A 40701-2023 FSC-klagomål mail.docx", "A 40701-2023")</f>
        <v/>
      </c>
      <c r="AA3">
        <f>HYPERLINK("https://klasma.github.io/Logging_1082/tillsyn/A 40701-2023 tillsynsbegäran.docx", "A 40701-2023")</f>
        <v/>
      </c>
      <c r="AB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46222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s="2" t="inlineStr">
        <is>
          <t>Liten stinksvamp
Lömsk flugsvamp
Murgröna
Myskmadra
Rutkremla
Blåsippa</t>
        </is>
      </c>
      <c r="V4">
        <f>HYPERLINK("https://klasma.github.io/Logging_1082/artfynd/A 21911-2026 artfynd.xlsx", "A 21911-2026")</f>
        <v/>
      </c>
      <c r="W4">
        <f>HYPERLINK("https://klasma.github.io/Logging_1082/kartor/A 21911-2026 karta.png", "A 21911-2026")</f>
        <v/>
      </c>
      <c r="Y4">
        <f>HYPERLINK("https://klasma.github.io/Logging_1082/klagomål/A 21911-2026 FSC-klagomål.docx", "A 21911-2026")</f>
        <v/>
      </c>
      <c r="Z4">
        <f>HYPERLINK("https://klasma.github.io/Logging_1082/klagomålsmail/A 21911-2026 FSC-klagomål mail.docx", "A 21911-2026")</f>
        <v/>
      </c>
      <c r="AA4">
        <f>HYPERLINK("https://klasma.github.io/Logging_1082/tillsyn/A 21911-2026 tillsynsbegäran.docx", "A 21911-2026")</f>
        <v/>
      </c>
      <c r="AB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46222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s="2" t="inlineStr">
        <is>
          <t>Brunpudrad nållav
Kortskaftad ärgspik
Brandticka
Klippfrullania
Kornknutmossa
Skuggmossa</t>
        </is>
      </c>
      <c r="V5">
        <f>HYPERLINK("https://klasma.github.io/Logging_1082/artfynd/A 31276-2026 artfynd.xlsx", "A 31276-2026")</f>
        <v/>
      </c>
      <c r="W5">
        <f>HYPERLINK("https://klasma.github.io/Logging_1082/kartor/A 31276-2026 karta.png", "A 31276-2026")</f>
        <v/>
      </c>
      <c r="Y5">
        <f>HYPERLINK("https://klasma.github.io/Logging_1082/klagomål/A 31276-2026 FSC-klagomål.docx", "A 31276-2026")</f>
        <v/>
      </c>
      <c r="Z5">
        <f>HYPERLINK("https://klasma.github.io/Logging_1082/klagomålsmail/A 31276-2026 FSC-klagomål mail.docx", "A 31276-2026")</f>
        <v/>
      </c>
      <c r="AA5">
        <f>HYPERLINK("https://klasma.github.io/Logging_1082/tillsyn/A 31276-2026 tillsynsbegäran.docx", "A 31276-2026")</f>
        <v/>
      </c>
      <c r="AB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46222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s="2" t="inlineStr">
        <is>
          <t>Sandödla
Vitfläckig guldvinge
Guldlockmossa
Klippfrullania
Skogsduva</t>
        </is>
      </c>
      <c r="V6">
        <f>HYPERLINK("https://klasma.github.io/Logging_1082/artfynd/A 2368-2024 artfynd.xlsx", "A 2368-2024")</f>
        <v/>
      </c>
      <c r="W6">
        <f>HYPERLINK("https://klasma.github.io/Logging_1082/kartor/A 2368-2024 karta.png", "A 2368-2024")</f>
        <v/>
      </c>
      <c r="Y6">
        <f>HYPERLINK("https://klasma.github.io/Logging_1082/klagomål/A 2368-2024 FSC-klagomål.docx", "A 2368-2024")</f>
        <v/>
      </c>
      <c r="Z6">
        <f>HYPERLINK("https://klasma.github.io/Logging_1082/klagomålsmail/A 2368-2024 FSC-klagomål mail.docx", "A 2368-2024")</f>
        <v/>
      </c>
      <c r="AA6">
        <f>HYPERLINK("https://klasma.github.io/Logging_1082/tillsyn/A 2368-2024 tillsynsbegäran.docx", "A 2368-2024")</f>
        <v/>
      </c>
      <c r="AB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46222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s="2" t="inlineStr">
        <is>
          <t>Småvänderot
Lunglav
Ängsmetallvinge
Lönnlav
Platt fjädermossa</t>
        </is>
      </c>
      <c r="V7">
        <f>HYPERLINK("https://klasma.github.io/Logging_1082/artfynd/A 11819-2024 artfynd.xlsx", "A 11819-2024")</f>
        <v/>
      </c>
      <c r="W7">
        <f>HYPERLINK("https://klasma.github.io/Logging_1082/kartor/A 11819-2024 karta.png", "A 11819-2024")</f>
        <v/>
      </c>
      <c r="Y7">
        <f>HYPERLINK("https://klasma.github.io/Logging_1082/klagomål/A 11819-2024 FSC-klagomål.docx", "A 11819-2024")</f>
        <v/>
      </c>
      <c r="Z7">
        <f>HYPERLINK("https://klasma.github.io/Logging_1082/klagomålsmail/A 11819-2024 FSC-klagomål mail.docx", "A 11819-2024")</f>
        <v/>
      </c>
      <c r="AA7">
        <f>HYPERLINK("https://klasma.github.io/Logging_1082/tillsyn/A 11819-2024 tillsynsbegäran.docx", "A 11819-2024")</f>
        <v/>
      </c>
      <c r="AB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46222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s="2" t="inlineStr">
        <is>
          <t>Svart skogssnigel
Blåmossa
Brandticka
Flagellkvastmossa
Västlig hakmossa</t>
        </is>
      </c>
      <c r="V8">
        <f>HYPERLINK("https://klasma.github.io/Logging_1082/artfynd/S 8564-2021 artfynd.xlsx", "S 8564-2021")</f>
        <v/>
      </c>
      <c r="W8">
        <f>HYPERLINK("https://klasma.github.io/Logging_1082/kartor/S 8564-2021 karta.png", "S 8564-2021")</f>
        <v/>
      </c>
      <c r="Y8">
        <f>HYPERLINK("https://klasma.github.io/Logging_1082/klagomål/S 8564-2021 FSC-klagomål.docx", "S 8564-2021")</f>
        <v/>
      </c>
      <c r="Z8">
        <f>HYPERLINK("https://klasma.github.io/Logging_1082/klagomålsmail/S 8564-2021 FSC-klagomål mail.docx", "S 8564-2021")</f>
        <v/>
      </c>
      <c r="AA8">
        <f>HYPERLINK("https://klasma.github.io/Logging_1082/tillsyn/S 8564-2021 tillsynsbegäran.docx", "S 8564-2021")</f>
        <v/>
      </c>
      <c r="AB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46222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s="2" t="inlineStr">
        <is>
          <t>Gul dropplav
Hjälmbrosklav
Korallticka
Grå skärelav</t>
        </is>
      </c>
      <c r="V9">
        <f>HYPERLINK("https://klasma.github.io/Logging_1082/artfynd/A 43789-2023 artfynd.xlsx", "A 43789-2023")</f>
        <v/>
      </c>
      <c r="W9">
        <f>HYPERLINK("https://klasma.github.io/Logging_1082/kartor/A 43789-2023 karta.png", "A 43789-2023")</f>
        <v/>
      </c>
      <c r="Y9">
        <f>HYPERLINK("https://klasma.github.io/Logging_1082/klagomål/A 43789-2023 FSC-klagomål.docx", "A 43789-2023")</f>
        <v/>
      </c>
      <c r="Z9">
        <f>HYPERLINK("https://klasma.github.io/Logging_1082/klagomålsmail/A 43789-2023 FSC-klagomål mail.docx", "A 43789-2023")</f>
        <v/>
      </c>
      <c r="AA9">
        <f>HYPERLINK("https://klasma.github.io/Logging_1082/tillsyn/A 43789-2023 tillsynsbegäran.docx", "A 43789-2023")</f>
        <v/>
      </c>
      <c r="AB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46222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s="2" t="inlineStr">
        <is>
          <t>Tårticka
Gul dropplav
Oxtungssvamp
Rostfläck</t>
        </is>
      </c>
      <c r="V10">
        <f>HYPERLINK("https://klasma.github.io/Logging_1082/artfynd/S 2753-2025 artfynd.xlsx", "S 2753-2025")</f>
        <v/>
      </c>
      <c r="W10">
        <f>HYPERLINK("https://klasma.github.io/Logging_1082/kartor/S 2753-2025 karta.png", "S 2753-2025")</f>
        <v/>
      </c>
      <c r="Y10">
        <f>HYPERLINK("https://klasma.github.io/Logging_1082/klagomål/S 2753-2025 FSC-klagomål.docx", "S 2753-2025")</f>
        <v/>
      </c>
      <c r="Z10">
        <f>HYPERLINK("https://klasma.github.io/Logging_1082/klagomålsmail/S 2753-2025 FSC-klagomål mail.docx", "S 2753-2025")</f>
        <v/>
      </c>
      <c r="AA10">
        <f>HYPERLINK("https://klasma.github.io/Logging_1082/tillsyn/S 2753-2025 tillsynsbegäran.docx", "S 2753-2025")</f>
        <v/>
      </c>
      <c r="AB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46222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s="2" t="inlineStr">
        <is>
          <t>Ryl
Sommarfibbla
Vippärt
Hässleklocka</t>
        </is>
      </c>
      <c r="V11">
        <f>HYPERLINK("https://klasma.github.io/Logging_1082/artfynd/S 1977-2026 artfynd.xlsx", "S 1977-2026")</f>
        <v/>
      </c>
      <c r="W11">
        <f>HYPERLINK("https://klasma.github.io/Logging_1082/kartor/S 1977-2026 karta.png", "S 1977-2026")</f>
        <v/>
      </c>
      <c r="Y11">
        <f>HYPERLINK("https://klasma.github.io/Logging_1082/klagomål/S 1977-2026 FSC-klagomål.docx", "S 1977-2026")</f>
        <v/>
      </c>
      <c r="Z11">
        <f>HYPERLINK("https://klasma.github.io/Logging_1082/klagomålsmail/S 1977-2026 FSC-klagomål mail.docx", "S 1977-2026")</f>
        <v/>
      </c>
      <c r="AA11">
        <f>HYPERLINK("https://klasma.github.io/Logging_1082/tillsyn/S 1977-2026 tillsynsbegäran.docx", "S 1977-2026")</f>
        <v/>
      </c>
      <c r="AB11">
        <f>HYPERLINK("https://klasma.github.io/Logging_1082/tillsynsmail/S 1977-2026 tillsynsbegäran mail.docx", "S 1977-2026")</f>
        <v/>
      </c>
    </row>
    <row r="12" ht="15" customHeight="1">
      <c r="A12" t="inlineStr">
        <is>
          <t>A 37115-2021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44395</v>
      </c>
      <c r="E12" s="1" t="n">
        <v>46222</v>
      </c>
      <c r="F12" t="inlineStr">
        <is>
          <t>BLEKINGE LÄN</t>
        </is>
      </c>
      <c r="G12" t="inlineStr">
        <is>
          <t>KARLSHAMN</t>
        </is>
      </c>
      <c r="I12" t="n">
        <v>16</v>
      </c>
      <c r="J12" t="n">
        <v>0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s="2" t="inlineStr">
        <is>
          <t>Hållav
Pulverädellav
Havstulpanlav</t>
        </is>
      </c>
      <c r="V12">
        <f>HYPERLINK("https://klasma.github.io/Logging_1082/artfynd/A 37115-2021 artfynd.xlsx", "A 37115-2021")</f>
        <v/>
      </c>
      <c r="W12">
        <f>HYPERLINK("https://klasma.github.io/Logging_1082/kartor/A 37115-2021 karta.png", "A 37115-2021")</f>
        <v/>
      </c>
      <c r="Y12">
        <f>HYPERLINK("https://klasma.github.io/Logging_1082/klagomål/A 37115-2021 FSC-klagomål.docx", "A 37115-2021")</f>
        <v/>
      </c>
      <c r="Z12">
        <f>HYPERLINK("https://klasma.github.io/Logging_1082/klagomålsmail/A 37115-2021 FSC-klagomål mail.docx", "A 37115-2021")</f>
        <v/>
      </c>
      <c r="AA12">
        <f>HYPERLINK("https://klasma.github.io/Logging_1082/tillsyn/A 37115-2021 tillsynsbegäran.docx", "A 37115-2021")</f>
        <v/>
      </c>
      <c r="AB12">
        <f>HYPERLINK("https://klasma.github.io/Logging_1082/tillsynsmail/A 37115-2021 tillsynsbegäran mail.docx", "A 37115-2021")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46222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s="2" t="inlineStr">
        <is>
          <t>Skogsalm
Skogsbräsma
Trädporella</t>
        </is>
      </c>
      <c r="V13">
        <f>HYPERLINK("https://klasma.github.io/Logging_1082/artfynd/A 26616-2026 artfynd.xlsx", "A 26616-2026")</f>
        <v/>
      </c>
      <c r="W13">
        <f>HYPERLINK("https://klasma.github.io/Logging_1082/kartor/A 26616-2026 karta.png", "A 26616-2026")</f>
        <v/>
      </c>
      <c r="Y13">
        <f>HYPERLINK("https://klasma.github.io/Logging_1082/klagomål/A 26616-2026 FSC-klagomål.docx", "A 26616-2026")</f>
        <v/>
      </c>
      <c r="Z13">
        <f>HYPERLINK("https://klasma.github.io/Logging_1082/klagomålsmail/A 26616-2026 FSC-klagomål mail.docx", "A 26616-2026")</f>
        <v/>
      </c>
      <c r="AA13">
        <f>HYPERLINK("https://klasma.github.io/Logging_1082/tillsyn/A 26616-2026 tillsynsbegäran.docx", "A 26616-2026")</f>
        <v/>
      </c>
      <c r="AB13">
        <f>HYPERLINK("https://klasma.github.io/Logging_1082/tillsynsmail/A 26616-2026 tillsynsbegäran mail.docx", "A 26616-2026")</f>
        <v/>
      </c>
    </row>
    <row r="14" ht="15" customHeight="1">
      <c r="A14" t="inlineStr">
        <is>
          <t>A 10096-2022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44621</v>
      </c>
      <c r="E14" s="1" t="n">
        <v>46222</v>
      </c>
      <c r="F14" t="inlineStr">
        <is>
          <t>BLEKINGE LÄN</t>
        </is>
      </c>
      <c r="G14" t="inlineStr">
        <is>
          <t>KARLSHAMN</t>
        </is>
      </c>
      <c r="H14" t="inlineStr">
        <is>
          <t>Kommuner</t>
        </is>
      </c>
      <c r="I14" t="n">
        <v>4.8</v>
      </c>
      <c r="J14" t="n">
        <v>1</v>
      </c>
      <c r="K14" t="n">
        <v>1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s="2" t="inlineStr">
        <is>
          <t>Stare
Ädellav
Gulpudrad spiklav</t>
        </is>
      </c>
      <c r="V14">
        <f>HYPERLINK("https://klasma.github.io/Logging_1082/artfynd/A 10096-2022 artfynd.xlsx", "A 10096-2022")</f>
        <v/>
      </c>
      <c r="W14">
        <f>HYPERLINK("https://klasma.github.io/Logging_1082/kartor/A 10096-2022 karta.png", "A 10096-2022")</f>
        <v/>
      </c>
      <c r="Y14">
        <f>HYPERLINK("https://klasma.github.io/Logging_1082/klagomål/A 10096-2022 FSC-klagomål.docx", "A 10096-2022")</f>
        <v/>
      </c>
      <c r="Z14">
        <f>HYPERLINK("https://klasma.github.io/Logging_1082/klagomålsmail/A 10096-2022 FSC-klagomål mail.docx", "A 10096-2022")</f>
        <v/>
      </c>
      <c r="AA14">
        <f>HYPERLINK("https://klasma.github.io/Logging_1082/tillsyn/A 10096-2022 tillsynsbegäran.docx", "A 10096-2022")</f>
        <v/>
      </c>
      <c r="AB14">
        <f>HYPERLINK("https://klasma.github.io/Logging_1082/tillsynsmail/A 10096-2022 tillsynsbegäran mail.docx", "A 10096-2022")</f>
        <v/>
      </c>
      <c r="AC14">
        <f>HYPERLINK("https://klasma.github.io/Logging_1082/fåglar/A 10096-2022 prioriterade fågelarter.docx", "A 10096-2022")</f>
        <v/>
      </c>
    </row>
    <row r="15" ht="15" customHeight="1">
      <c r="A15" t="inlineStr">
        <is>
          <t>S 4614-2024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45603</v>
      </c>
      <c r="E15" s="1" t="n">
        <v>46222</v>
      </c>
      <c r="F15" t="inlineStr">
        <is>
          <t>BLEKINGE LÄN</t>
        </is>
      </c>
      <c r="G15" t="inlineStr">
        <is>
          <t>KARLSHAMN</t>
        </is>
      </c>
      <c r="I15" t="n">
        <v>210.3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s="2" t="inlineStr">
        <is>
          <t>Stortimjan
Slåtterfibbla
Trana</t>
        </is>
      </c>
      <c r="V15">
        <f>HYPERLINK("https://klasma.github.io/Logging_1082/artfynd/S 4614-2024 artfynd.xlsx", "S 4614-2024")</f>
        <v/>
      </c>
      <c r="W15">
        <f>HYPERLINK("https://klasma.github.io/Logging_1082/kartor/S 4614-2024 karta.png", "S 4614-2024")</f>
        <v/>
      </c>
      <c r="Y15">
        <f>HYPERLINK("https://klasma.github.io/Logging_1082/klagomål/S 4614-2024 FSC-klagomål.docx", "S 4614-2024")</f>
        <v/>
      </c>
      <c r="Z15">
        <f>HYPERLINK("https://klasma.github.io/Logging_1082/klagomålsmail/S 4614-2024 FSC-klagomål mail.docx", "S 4614-2024")</f>
        <v/>
      </c>
      <c r="AA15">
        <f>HYPERLINK("https://klasma.github.io/Logging_1082/tillsyn/S 4614-2024 tillsynsbegäran.docx", "S 4614-2024")</f>
        <v/>
      </c>
      <c r="AB15">
        <f>HYPERLINK("https://klasma.github.io/Logging_1082/tillsynsmail/S 4614-2024 tillsynsbegäran mail.docx", "S 4614-2024")</f>
        <v/>
      </c>
      <c r="AC15">
        <f>HYPERLINK("https://klasma.github.io/Logging_1082/fåglar/S 4614-2024 prioriterade fågelarter.docx", "S 4614-2024")</f>
        <v/>
      </c>
    </row>
    <row r="16" ht="15" customHeight="1">
      <c r="A16" t="inlineStr">
        <is>
          <t>S 698-2026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46092</v>
      </c>
      <c r="E16" s="1" t="n">
        <v>46222</v>
      </c>
      <c r="F16" t="inlineStr">
        <is>
          <t>BLEKINGE LÄN</t>
        </is>
      </c>
      <c r="G16" t="inlineStr">
        <is>
          <t>KARLSHAMN</t>
        </is>
      </c>
      <c r="I16" t="n">
        <v>47.3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s="2" t="inlineStr">
        <is>
          <t>Nattskärra
Vanlig padda
Grönvit nattviol</t>
        </is>
      </c>
      <c r="V16">
        <f>HYPERLINK("https://klasma.github.io/Logging_1082/artfynd/S 698-2026 artfynd.xlsx", "S 698-2026")</f>
        <v/>
      </c>
      <c r="W16">
        <f>HYPERLINK("https://klasma.github.io/Logging_1082/kartor/S 698-2026 karta.png", "S 698-2026")</f>
        <v/>
      </c>
      <c r="Y16">
        <f>HYPERLINK("https://klasma.github.io/Logging_1082/klagomål/S 698-2026 FSC-klagomål.docx", "S 698-2026")</f>
        <v/>
      </c>
      <c r="Z16">
        <f>HYPERLINK("https://klasma.github.io/Logging_1082/klagomålsmail/S 698-2026 FSC-klagomål mail.docx", "S 698-2026")</f>
        <v/>
      </c>
      <c r="AA16">
        <f>HYPERLINK("https://klasma.github.io/Logging_1082/tillsyn/S 698-2026 tillsynsbegäran.docx", "S 698-2026")</f>
        <v/>
      </c>
      <c r="AB16">
        <f>HYPERLINK("https://klasma.github.io/Logging_1082/tillsynsmail/S 698-2026 tillsynsbegäran mail.docx", "S 698-2026")</f>
        <v/>
      </c>
      <c r="AC16">
        <f>HYPERLINK("https://klasma.github.io/Logging_1082/fåglar/S 698-2026 prioriterade fågelarter.docx", "S 698-2026")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46222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s="2" t="inlineStr">
        <is>
          <t>Sydspärgel
Skogsknipprot</t>
        </is>
      </c>
      <c r="V17">
        <f>HYPERLINK("https://klasma.github.io/Logging_1082/artfynd/A 40310-2023 artfynd.xlsx", "A 40310-2023")</f>
        <v/>
      </c>
      <c r="W17">
        <f>HYPERLINK("https://klasma.github.io/Logging_1082/kartor/A 40310-2023 karta.png", "A 40310-2023")</f>
        <v/>
      </c>
      <c r="Y17">
        <f>HYPERLINK("https://klasma.github.io/Logging_1082/klagomål/A 40310-2023 FSC-klagomål.docx", "A 40310-2023")</f>
        <v/>
      </c>
      <c r="Z17">
        <f>HYPERLINK("https://klasma.github.io/Logging_1082/klagomålsmail/A 40310-2023 FSC-klagomål mail.docx", "A 40310-2023")</f>
        <v/>
      </c>
      <c r="AA17">
        <f>HYPERLINK("https://klasma.github.io/Logging_1082/tillsyn/A 40310-2023 tillsynsbegäran.docx", "A 40310-2023")</f>
        <v/>
      </c>
      <c r="AB17">
        <f>HYPERLINK("https://klasma.github.io/Logging_1082/tillsynsmail/A 40310-2023 tillsynsbegäran mail.docx", "A 40310-2023")</f>
        <v/>
      </c>
    </row>
    <row r="18" ht="15" customHeight="1">
      <c r="A18" t="inlineStr">
        <is>
          <t>A 16893-2023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45028</v>
      </c>
      <c r="E18" s="1" t="n">
        <v>46222</v>
      </c>
      <c r="F18" t="inlineStr">
        <is>
          <t>BLEKINGE LÄN</t>
        </is>
      </c>
      <c r="G18" t="inlineStr">
        <is>
          <t>KARLSHAMN</t>
        </is>
      </c>
      <c r="I18" t="n">
        <v>10.7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3</v>
      </c>
      <c r="U18" s="2" t="inlineStr">
        <is>
          <t>Stortimjan
Flikros</t>
        </is>
      </c>
      <c r="V18">
        <f>HYPERLINK("https://klasma.github.io/Logging_1082/artfynd/A 16893-2023 artfynd.xlsx", "A 16893-2023")</f>
        <v/>
      </c>
      <c r="W18">
        <f>HYPERLINK("https://klasma.github.io/Logging_1082/kartor/A 16893-2023 karta.png", "A 16893-2023")</f>
        <v/>
      </c>
      <c r="Y18">
        <f>HYPERLINK("https://klasma.github.io/Logging_1082/klagomål/A 16893-2023 FSC-klagomål.docx", "A 16893-2023")</f>
        <v/>
      </c>
      <c r="Z18">
        <f>HYPERLINK("https://klasma.github.io/Logging_1082/klagomålsmail/A 16893-2023 FSC-klagomål mail.docx", "A 16893-2023")</f>
        <v/>
      </c>
      <c r="AA18">
        <f>HYPERLINK("https://klasma.github.io/Logging_1082/tillsyn/A 16893-2023 tillsynsbegäran.docx", "A 16893-2023")</f>
        <v/>
      </c>
      <c r="AB18">
        <f>HYPERLINK("https://klasma.github.io/Logging_1082/tillsynsmail/A 16893-2023 tillsynsbegäran mail.docx", "A 16893-2023")</f>
        <v/>
      </c>
    </row>
    <row r="19" ht="15" customHeight="1">
      <c r="A19" t="inlineStr">
        <is>
          <t>S 6860-2022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44897</v>
      </c>
      <c r="E19" s="1" t="n">
        <v>46222</v>
      </c>
      <c r="F19" t="inlineStr">
        <is>
          <t>BLEKINGE LÄN</t>
        </is>
      </c>
      <c r="G19" t="inlineStr">
        <is>
          <t>KARLSHAMN</t>
        </is>
      </c>
      <c r="I19" t="n">
        <v>1.1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Ask
Safsa</t>
        </is>
      </c>
      <c r="V19">
        <f>HYPERLINK("https://klasma.github.io/Logging_1082/artfynd/S 6860-2022 artfynd.xlsx", "S 6860-2022")</f>
        <v/>
      </c>
      <c r="W19">
        <f>HYPERLINK("https://klasma.github.io/Logging_1082/kartor/S 6860-2022 karta.png", "S 6860-2022")</f>
        <v/>
      </c>
      <c r="Y19">
        <f>HYPERLINK("https://klasma.github.io/Logging_1082/klagomål/S 6860-2022 FSC-klagomål.docx", "S 6860-2022")</f>
        <v/>
      </c>
      <c r="Z19">
        <f>HYPERLINK("https://klasma.github.io/Logging_1082/klagomålsmail/S 6860-2022 FSC-klagomål mail.docx", "S 6860-2022")</f>
        <v/>
      </c>
      <c r="AA19">
        <f>HYPERLINK("https://klasma.github.io/Logging_1082/tillsyn/S 6860-2022 tillsynsbegäran.docx", "S 6860-2022")</f>
        <v/>
      </c>
      <c r="AB19">
        <f>HYPERLINK("https://klasma.github.io/Logging_1082/tillsynsmail/S 6860-2022 tillsynsbegäran mail.docx", "S 6860-2022")</f>
        <v/>
      </c>
    </row>
    <row r="20" ht="15" customHeight="1">
      <c r="A20" t="inlineStr">
        <is>
          <t>S 704-2026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46092</v>
      </c>
      <c r="E20" s="1" t="n">
        <v>46222</v>
      </c>
      <c r="F20" t="inlineStr">
        <is>
          <t>BLEKINGE LÄN</t>
        </is>
      </c>
      <c r="G20" t="inlineStr">
        <is>
          <t>KARLSHAMN</t>
        </is>
      </c>
      <c r="I20" t="n">
        <v>46.7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s="2" t="inlineStr">
        <is>
          <t>Igelkott
Kungsfågel</t>
        </is>
      </c>
      <c r="V20">
        <f>HYPERLINK("https://klasma.github.io/Logging_1082/artfynd/S 704-2026 artfynd.xlsx", "S 704-2026")</f>
        <v/>
      </c>
      <c r="W20">
        <f>HYPERLINK("https://klasma.github.io/Logging_1082/kartor/S 704-2026 karta.png", "S 704-2026")</f>
        <v/>
      </c>
      <c r="Y20">
        <f>HYPERLINK("https://klasma.github.io/Logging_1082/klagomål/S 704-2026 FSC-klagomål.docx", "S 704-2026")</f>
        <v/>
      </c>
      <c r="Z20">
        <f>HYPERLINK("https://klasma.github.io/Logging_1082/klagomålsmail/S 704-2026 FSC-klagomål mail.docx", "S 704-2026")</f>
        <v/>
      </c>
      <c r="AA20">
        <f>HYPERLINK("https://klasma.github.io/Logging_1082/tillsyn/S 704-2026 tillsynsbegäran.docx", "S 704-2026")</f>
        <v/>
      </c>
      <c r="AB20">
        <f>HYPERLINK("https://klasma.github.io/Logging_1082/tillsynsmail/S 704-2026 tillsynsbegäran mail.docx", "S 704-2026")</f>
        <v/>
      </c>
    </row>
    <row r="21" ht="15" customHeight="1">
      <c r="A21" t="inlineStr">
        <is>
          <t>A 5497-2022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46222</v>
      </c>
      <c r="F21" t="inlineStr">
        <is>
          <t>BLEKINGE LÄN</t>
        </is>
      </c>
      <c r="G21" t="inlineStr">
        <is>
          <t>KARLSHAMN</t>
        </is>
      </c>
      <c r="I21" t="n">
        <v>6.3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Ekoxe</t>
        </is>
      </c>
      <c r="V21">
        <f>HYPERLINK("https://klasma.github.io/Logging_1082/artfynd/A 5497-2022 artfynd.xlsx", "A 5497-2022")</f>
        <v/>
      </c>
      <c r="W21">
        <f>HYPERLINK("https://klasma.github.io/Logging_1082/kartor/A 5497-2022 karta.png", "A 5497-2022")</f>
        <v/>
      </c>
      <c r="Y21">
        <f>HYPERLINK("https://klasma.github.io/Logging_1082/klagomål/A 5497-2022 FSC-klagomål.docx", "A 5497-2022")</f>
        <v/>
      </c>
      <c r="Z21">
        <f>HYPERLINK("https://klasma.github.io/Logging_1082/klagomålsmail/A 5497-2022 FSC-klagomål mail.docx", "A 5497-2022")</f>
        <v/>
      </c>
      <c r="AA21">
        <f>HYPERLINK("https://klasma.github.io/Logging_1082/tillsyn/A 5497-2022 tillsynsbegäran.docx", "A 5497-2022")</f>
        <v/>
      </c>
      <c r="AB21">
        <f>HYPERLINK("https://klasma.github.io/Logging_1082/tillsynsmail/A 5497-2022 tillsynsbegäran mail.docx", "A 5497-2022")</f>
        <v/>
      </c>
    </row>
    <row r="22" ht="15" customHeight="1">
      <c r="A22" t="inlineStr">
        <is>
          <t>A 49902-2021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44455</v>
      </c>
      <c r="E22" s="1" t="n">
        <v>46222</v>
      </c>
      <c r="F22" t="inlineStr">
        <is>
          <t>BLEKINGE LÄN</t>
        </is>
      </c>
      <c r="G22" t="inlineStr">
        <is>
          <t>KARLSHAMN</t>
        </is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Västlig hakmossa</t>
        </is>
      </c>
      <c r="V22">
        <f>HYPERLINK("https://klasma.github.io/Logging_1082/artfynd/A 49902-2021 artfynd.xlsx", "A 49902-2021")</f>
        <v/>
      </c>
      <c r="W22">
        <f>HYPERLINK("https://klasma.github.io/Logging_1082/kartor/A 49902-2021 karta.png", "A 49902-2021")</f>
        <v/>
      </c>
      <c r="Y22">
        <f>HYPERLINK("https://klasma.github.io/Logging_1082/klagomål/A 49902-2021 FSC-klagomål.docx", "A 49902-2021")</f>
        <v/>
      </c>
      <c r="Z22">
        <f>HYPERLINK("https://klasma.github.io/Logging_1082/klagomålsmail/A 49902-2021 FSC-klagomål mail.docx", "A 49902-2021")</f>
        <v/>
      </c>
      <c r="AA22">
        <f>HYPERLINK("https://klasma.github.io/Logging_1082/tillsyn/A 49902-2021 tillsynsbegäran.docx", "A 49902-2021")</f>
        <v/>
      </c>
      <c r="AB22">
        <f>HYPERLINK("https://klasma.github.io/Logging_1082/tillsynsmail/A 49902-2021 tillsynsbegäran mail.docx", "A 49902-2021")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46222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Tjäder</t>
        </is>
      </c>
      <c r="V23">
        <f>HYPERLINK("https://klasma.github.io/Logging_1082/artfynd/A 29904-2025 artfynd.xlsx", "A 29904-2025")</f>
        <v/>
      </c>
      <c r="W23">
        <f>HYPERLINK("https://klasma.github.io/Logging_1082/kartor/A 29904-2025 karta.png", "A 29904-2025")</f>
        <v/>
      </c>
      <c r="Y23">
        <f>HYPERLINK("https://klasma.github.io/Logging_1082/klagomål/A 29904-2025 FSC-klagomål.docx", "A 29904-2025")</f>
        <v/>
      </c>
      <c r="Z23">
        <f>HYPERLINK("https://klasma.github.io/Logging_1082/klagomålsmail/A 29904-2025 FSC-klagomål mail.docx", "A 29904-2025")</f>
        <v/>
      </c>
      <c r="AA23">
        <f>HYPERLINK("https://klasma.github.io/Logging_1082/tillsyn/A 29904-2025 tillsynsbegäran.docx", "A 29904-2025")</f>
        <v/>
      </c>
      <c r="AB23">
        <f>HYPERLINK("https://klasma.github.io/Logging_1082/tillsynsmail/A 29904-2025 tillsynsbegäran mail.docx", "A 29904-2025")</f>
        <v/>
      </c>
      <c r="AC23">
        <f>HYPERLINK("https://klasma.github.io/Logging_1082/fåglar/A 29904-2025 prioriterade fågelarter.docx", "A 29904-2025")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46222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Grönhjon</t>
        </is>
      </c>
      <c r="V24">
        <f>HYPERLINK("https://klasma.github.io/Logging_1082/artfynd/A 29000-2023 artfynd.xlsx", "A 29000-2023")</f>
        <v/>
      </c>
      <c r="W24">
        <f>HYPERLINK("https://klasma.github.io/Logging_1082/kartor/A 29000-2023 karta.png", "A 29000-2023")</f>
        <v/>
      </c>
      <c r="Y24">
        <f>HYPERLINK("https://klasma.github.io/Logging_1082/klagomål/A 29000-2023 FSC-klagomål.docx", "A 29000-2023")</f>
        <v/>
      </c>
      <c r="Z24">
        <f>HYPERLINK("https://klasma.github.io/Logging_1082/klagomålsmail/A 29000-2023 FSC-klagomål mail.docx", "A 29000-2023")</f>
        <v/>
      </c>
      <c r="AA24">
        <f>HYPERLINK("https://klasma.github.io/Logging_1082/tillsyn/A 29000-2023 tillsynsbegäran.docx", "A 29000-2023")</f>
        <v/>
      </c>
      <c r="AB24">
        <f>HYPERLINK("https://klasma.github.io/Logging_1082/tillsynsmail/A 29000-2023 tillsynsbegäran mail.docx", "A 29000-2023")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46222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Igelkott</t>
        </is>
      </c>
      <c r="V25">
        <f>HYPERLINK("https://klasma.github.io/Logging_1082/artfynd/A 21447-2025 artfynd.xlsx", "A 21447-2025")</f>
        <v/>
      </c>
      <c r="W25">
        <f>HYPERLINK("https://klasma.github.io/Logging_1082/kartor/A 21447-2025 karta.png", "A 21447-2025")</f>
        <v/>
      </c>
      <c r="Y25">
        <f>HYPERLINK("https://klasma.github.io/Logging_1082/klagomål/A 21447-2025 FSC-klagomål.docx", "A 21447-2025")</f>
        <v/>
      </c>
      <c r="Z25">
        <f>HYPERLINK("https://klasma.github.io/Logging_1082/klagomålsmail/A 21447-2025 FSC-klagomål mail.docx", "A 21447-2025")</f>
        <v/>
      </c>
      <c r="AA25">
        <f>HYPERLINK("https://klasma.github.io/Logging_1082/tillsyn/A 21447-2025 tillsynsbegäran.docx", "A 21447-2025")</f>
        <v/>
      </c>
      <c r="AB25">
        <f>HYPERLINK("https://klasma.github.io/Logging_1082/tillsynsmail/A 21447-2025 tillsynsbegäran mail.docx", "A 21447-2025")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46222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Lömsk flugsvamp</t>
        </is>
      </c>
      <c r="V26">
        <f>HYPERLINK("https://klasma.github.io/Logging_1082/artfynd/A 2573-2023 artfynd.xlsx", "A 2573-2023")</f>
        <v/>
      </c>
      <c r="W26">
        <f>HYPERLINK("https://klasma.github.io/Logging_1082/kartor/A 2573-2023 karta.png", "A 2573-2023")</f>
        <v/>
      </c>
      <c r="Y26">
        <f>HYPERLINK("https://klasma.github.io/Logging_1082/klagomål/A 2573-2023 FSC-klagomål.docx", "A 2573-2023")</f>
        <v/>
      </c>
      <c r="Z26">
        <f>HYPERLINK("https://klasma.github.io/Logging_1082/klagomålsmail/A 2573-2023 FSC-klagomål mail.docx", "A 2573-2023")</f>
        <v/>
      </c>
      <c r="AA26">
        <f>HYPERLINK("https://klasma.github.io/Logging_1082/tillsyn/A 2573-2023 tillsynsbegäran.docx", "A 2573-2023")</f>
        <v/>
      </c>
      <c r="AB26">
        <f>HYPERLINK("https://klasma.github.io/Logging_1082/tillsynsmail/A 2573-2023 tillsynsbegäran mail.docx", "A 2573-2023")</f>
        <v/>
      </c>
    </row>
    <row r="27" ht="15" customHeight="1">
      <c r="A27" t="inlineStr">
        <is>
          <t>A 58405-2022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44901</v>
      </c>
      <c r="E27" s="1" t="n">
        <v>46222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Grönsångare</t>
        </is>
      </c>
      <c r="V27">
        <f>HYPERLINK("https://klasma.github.io/Logging_1082/artfynd/A 58405-2022 artfynd.xlsx", "A 58405-2022")</f>
        <v/>
      </c>
      <c r="W27">
        <f>HYPERLINK("https://klasma.github.io/Logging_1082/kartor/A 58405-2022 karta.png", "A 58405-2022")</f>
        <v/>
      </c>
      <c r="Y27">
        <f>HYPERLINK("https://klasma.github.io/Logging_1082/klagomål/A 58405-2022 FSC-klagomål.docx", "A 58405-2022")</f>
        <v/>
      </c>
      <c r="Z27">
        <f>HYPERLINK("https://klasma.github.io/Logging_1082/klagomålsmail/A 58405-2022 FSC-klagomål mail.docx", "A 58405-2022")</f>
        <v/>
      </c>
      <c r="AA27">
        <f>HYPERLINK("https://klasma.github.io/Logging_1082/tillsyn/A 58405-2022 tillsynsbegäran.docx", "A 58405-2022")</f>
        <v/>
      </c>
      <c r="AB27">
        <f>HYPERLINK("https://klasma.github.io/Logging_1082/tillsynsmail/A 58405-2022 tillsynsbegäran mail.docx", "A 58405-2022")</f>
        <v/>
      </c>
      <c r="AC27">
        <f>HYPERLINK("https://klasma.github.io/Logging_1082/fåglar/A 58405-2022 prioriterade fågelarter.docx", "A 58405-2022")</f>
        <v/>
      </c>
    </row>
    <row r="28" ht="15" customHeight="1">
      <c r="A28" t="inlineStr">
        <is>
          <t>A 14598-2022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46222</v>
      </c>
      <c r="F28" t="inlineStr">
        <is>
          <t>BLEKINGE LÄN</t>
        </is>
      </c>
      <c r="G28" t="inlineStr">
        <is>
          <t>KARLSHAMN</t>
        </is>
      </c>
      <c r="I28" t="n">
        <v>1.9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Tibast</t>
        </is>
      </c>
      <c r="V28">
        <f>HYPERLINK("https://klasma.github.io/Logging_1082/artfynd/A 14598-2022 artfynd.xlsx", "A 14598-2022")</f>
        <v/>
      </c>
      <c r="W28">
        <f>HYPERLINK("https://klasma.github.io/Logging_1082/kartor/A 14598-2022 karta.png", "A 14598-2022")</f>
        <v/>
      </c>
      <c r="Y28">
        <f>HYPERLINK("https://klasma.github.io/Logging_1082/klagomål/A 14598-2022 FSC-klagomål.docx", "A 14598-2022")</f>
        <v/>
      </c>
      <c r="Z28">
        <f>HYPERLINK("https://klasma.github.io/Logging_1082/klagomålsmail/A 14598-2022 FSC-klagomål mail.docx", "A 14598-2022")</f>
        <v/>
      </c>
      <c r="AA28">
        <f>HYPERLINK("https://klasma.github.io/Logging_1082/tillsyn/A 14598-2022 tillsynsbegäran.docx", "A 14598-2022")</f>
        <v/>
      </c>
      <c r="AB28">
        <f>HYPERLINK("https://klasma.github.io/Logging_1082/tillsynsmail/A 14598-2022 tillsynsbegäran mail.docx", "A 14598-2022")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46222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Utter</t>
        </is>
      </c>
      <c r="V29">
        <f>HYPERLINK("https://klasma.github.io/Logging_1082/artfynd/A 49574-2022 artfynd.xlsx", "A 49574-2022")</f>
        <v/>
      </c>
      <c r="W29">
        <f>HYPERLINK("https://klasma.github.io/Logging_1082/kartor/A 49574-2022 karta.png", "A 49574-2022")</f>
        <v/>
      </c>
      <c r="Y29">
        <f>HYPERLINK("https://klasma.github.io/Logging_1082/klagomål/A 49574-2022 FSC-klagomål.docx", "A 49574-2022")</f>
        <v/>
      </c>
      <c r="Z29">
        <f>HYPERLINK("https://klasma.github.io/Logging_1082/klagomålsmail/A 49574-2022 FSC-klagomål mail.docx", "A 49574-2022")</f>
        <v/>
      </c>
      <c r="AA29">
        <f>HYPERLINK("https://klasma.github.io/Logging_1082/tillsyn/A 49574-2022 tillsynsbegäran.docx", "A 49574-2022")</f>
        <v/>
      </c>
      <c r="AB29">
        <f>HYPERLINK("https://klasma.github.io/Logging_1082/tillsynsmail/A 49574-2022 tillsynsbegäran mail.docx", "A 49574-2022")</f>
        <v/>
      </c>
    </row>
    <row r="30" ht="15" customHeight="1">
      <c r="A30" t="inlineStr">
        <is>
          <t>A 33549-2023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46222</v>
      </c>
      <c r="F30" t="inlineStr">
        <is>
          <t>BLEKINGE LÄN</t>
        </is>
      </c>
      <c r="G30" t="inlineStr">
        <is>
          <t>KARLSHAMN</t>
        </is>
      </c>
      <c r="I30" t="n">
        <v>1.6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Fjällsopp</t>
        </is>
      </c>
      <c r="V30">
        <f>HYPERLINK("https://klasma.github.io/Logging_1082/artfynd/A 33549-2023 artfynd.xlsx", "A 33549-2023")</f>
        <v/>
      </c>
      <c r="W30">
        <f>HYPERLINK("https://klasma.github.io/Logging_1082/kartor/A 33549-2023 karta.png", "A 33549-2023")</f>
        <v/>
      </c>
      <c r="Y30">
        <f>HYPERLINK("https://klasma.github.io/Logging_1082/klagomål/A 33549-2023 FSC-klagomål.docx", "A 33549-2023")</f>
        <v/>
      </c>
      <c r="Z30">
        <f>HYPERLINK("https://klasma.github.io/Logging_1082/klagomålsmail/A 33549-2023 FSC-klagomål mail.docx", "A 33549-2023")</f>
        <v/>
      </c>
      <c r="AA30">
        <f>HYPERLINK("https://klasma.github.io/Logging_1082/tillsyn/A 33549-2023 tillsynsbegäran.docx", "A 33549-2023")</f>
        <v/>
      </c>
      <c r="AB30">
        <f>HYPERLINK("https://klasma.github.io/Logging_1082/tillsynsmail/A 33549-2023 tillsynsbegäran mail.docx", "A 33549-2023")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46222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Västlig hakmossa</t>
        </is>
      </c>
      <c r="V31">
        <f>HYPERLINK("https://klasma.github.io/Logging_1082/artfynd/S 2434-2025 artfynd.xlsx", "S 2434-2025")</f>
        <v/>
      </c>
      <c r="W31">
        <f>HYPERLINK("https://klasma.github.io/Logging_1082/kartor/S 2434-2025 karta.png", "S 2434-2025")</f>
        <v/>
      </c>
      <c r="Y31">
        <f>HYPERLINK("https://klasma.github.io/Logging_1082/klagomål/S 2434-2025 FSC-klagomål.docx", "S 2434-2025")</f>
        <v/>
      </c>
      <c r="Z31">
        <f>HYPERLINK("https://klasma.github.io/Logging_1082/klagomålsmail/S 2434-2025 FSC-klagomål mail.docx", "S 2434-2025")</f>
        <v/>
      </c>
      <c r="AA31">
        <f>HYPERLINK("https://klasma.github.io/Logging_1082/tillsyn/S 2434-2025 tillsynsbegäran.docx", "S 2434-2025")</f>
        <v/>
      </c>
      <c r="AB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46222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Igelkott</t>
        </is>
      </c>
      <c r="V32">
        <f>HYPERLINK("https://klasma.github.io/Logging_1082/artfynd/S 1010-2026 artfynd.xlsx", "S 1010-2026")</f>
        <v/>
      </c>
      <c r="W32">
        <f>HYPERLINK("https://klasma.github.io/Logging_1082/kartor/S 1010-2026 karta.png", "S 1010-2026")</f>
        <v/>
      </c>
      <c r="Y32">
        <f>HYPERLINK("https://klasma.github.io/Logging_1082/klagomål/S 1010-2026 FSC-klagomål.docx", "S 1010-2026")</f>
        <v/>
      </c>
      <c r="Z32">
        <f>HYPERLINK("https://klasma.github.io/Logging_1082/klagomålsmail/S 1010-2026 FSC-klagomål mail.docx", "S 1010-2026")</f>
        <v/>
      </c>
      <c r="AA32">
        <f>HYPERLINK("https://klasma.github.io/Logging_1082/tillsyn/S 1010-2026 tillsynsbegäran.docx", "S 1010-2026")</f>
        <v/>
      </c>
      <c r="AB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46222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46222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46222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46222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46222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46222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46222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46222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46222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46222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64109-2021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46222</v>
      </c>
      <c r="F43" t="inlineStr">
        <is>
          <t>BLEKINGE LÄN</t>
        </is>
      </c>
      <c r="G43" t="inlineStr">
        <is>
          <t>KARLSHAMN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27409-2022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46222</v>
      </c>
      <c r="F44" t="inlineStr">
        <is>
          <t>BLEKINGE LÄN</t>
        </is>
      </c>
      <c r="G44" t="inlineStr">
        <is>
          <t>KARLSHAMN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46222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43182-2022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46222</v>
      </c>
      <c r="F46" t="inlineStr">
        <is>
          <t>BLEKINGE LÄN</t>
        </is>
      </c>
      <c r="G46" t="inlineStr">
        <is>
          <t>KARLSHAMN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45197-2021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44439</v>
      </c>
      <c r="E47" s="1" t="n">
        <v>46222</v>
      </c>
      <c r="F47" t="inlineStr">
        <is>
          <t>BLEKINGE LÄN</t>
        </is>
      </c>
      <c r="G47" t="inlineStr">
        <is>
          <t>KARLSHAMN</t>
        </is>
      </c>
      <c r="H47" t="inlineStr">
        <is>
          <t>Kommuner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38944-2021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44410</v>
      </c>
      <c r="E48" s="1" t="n">
        <v>46222</v>
      </c>
      <c r="F48" t="inlineStr">
        <is>
          <t>BLEKINGE LÄN</t>
        </is>
      </c>
      <c r="G48" t="inlineStr">
        <is>
          <t>KARLSHAMN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44563</v>
      </c>
      <c r="E49" s="1" t="n">
        <v>46222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2974-2022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44581</v>
      </c>
      <c r="E50" s="1" t="n">
        <v>46222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51503-2021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44462</v>
      </c>
      <c r="E51" s="1" t="n">
        <v>46222</v>
      </c>
      <c r="F51" t="inlineStr">
        <is>
          <t>BLEKINGE LÄN</t>
        </is>
      </c>
      <c r="G51" t="inlineStr">
        <is>
          <t>KARLSHAMN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67266-2021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46222</v>
      </c>
      <c r="F52" t="inlineStr">
        <is>
          <t>BLEKINGE LÄN</t>
        </is>
      </c>
      <c r="G52" t="inlineStr">
        <is>
          <t>KARLSHAMN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54020-2021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44470</v>
      </c>
      <c r="E53" s="1" t="n">
        <v>46222</v>
      </c>
      <c r="F53" t="inlineStr">
        <is>
          <t>BLEKINGE LÄN</t>
        </is>
      </c>
      <c r="G53" t="inlineStr">
        <is>
          <t>KARLSHAMN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46222</v>
      </c>
      <c r="F54" t="inlineStr">
        <is>
          <t>BLEKINGE LÄN</t>
        </is>
      </c>
      <c r="G54" t="inlineStr">
        <is>
          <t>KARLSHAMN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31662-2022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46222</v>
      </c>
      <c r="F55" t="inlineStr">
        <is>
          <t>BLEKINGE LÄN</t>
        </is>
      </c>
      <c r="G55" t="inlineStr">
        <is>
          <t>KARLSHAMN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31666-2022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44776</v>
      </c>
      <c r="E56" s="1" t="n">
        <v>46222</v>
      </c>
      <c r="F56" t="inlineStr">
        <is>
          <t>BLEKINGE LÄN</t>
        </is>
      </c>
      <c r="G56" t="inlineStr">
        <is>
          <t>KARLSHAMN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58837-2021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46222</v>
      </c>
      <c r="F57" t="inlineStr">
        <is>
          <t>BLEKINGE LÄN</t>
        </is>
      </c>
      <c r="G57" t="inlineStr">
        <is>
          <t>KARLSHAMN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2659-2022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46222</v>
      </c>
      <c r="F58" t="inlineStr">
        <is>
          <t>BLEKINGE LÄN</t>
        </is>
      </c>
      <c r="G58" t="inlineStr">
        <is>
          <t>KARLSHAMN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35052-2022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44796</v>
      </c>
      <c r="E59" s="1" t="n">
        <v>46222</v>
      </c>
      <c r="F59" t="inlineStr">
        <is>
          <t>BLEKINGE LÄN</t>
        </is>
      </c>
      <c r="G59" t="inlineStr">
        <is>
          <t>KARLSHAMN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66838-2021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46222</v>
      </c>
      <c r="F60" t="inlineStr">
        <is>
          <t>BLEKINGE LÄN</t>
        </is>
      </c>
      <c r="G60" t="inlineStr">
        <is>
          <t>KARLSHAMN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58816-2021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46222</v>
      </c>
      <c r="F61" t="inlineStr">
        <is>
          <t>BLEKINGE LÄN</t>
        </is>
      </c>
      <c r="G61" t="inlineStr">
        <is>
          <t>KARLSHAMN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58830-2021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46222</v>
      </c>
      <c r="F62" t="inlineStr">
        <is>
          <t>BLEKINGE LÄN</t>
        </is>
      </c>
      <c r="G62" t="inlineStr">
        <is>
          <t>KARLSHAMN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67973-2021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46222</v>
      </c>
      <c r="F63" t="inlineStr">
        <is>
          <t>BLEKINGE LÄN</t>
        </is>
      </c>
      <c r="G63" t="inlineStr">
        <is>
          <t>KARLSHAMN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68165-2021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44526</v>
      </c>
      <c r="E64" s="1" t="n">
        <v>46222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57796-2021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44484</v>
      </c>
      <c r="E65" s="1" t="n">
        <v>46222</v>
      </c>
      <c r="F65" t="inlineStr">
        <is>
          <t>BLEKINGE LÄN</t>
        </is>
      </c>
      <c r="G65" t="inlineStr">
        <is>
          <t>KARLSHAMN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45587-2021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44440</v>
      </c>
      <c r="E66" s="1" t="n">
        <v>46222</v>
      </c>
      <c r="F66" t="inlineStr">
        <is>
          <t>BLEKINGE LÄN</t>
        </is>
      </c>
      <c r="G66" t="inlineStr">
        <is>
          <t>KARLSHAMN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57995-2021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46222</v>
      </c>
      <c r="F67" t="inlineStr">
        <is>
          <t>BLEKINGE LÄN</t>
        </is>
      </c>
      <c r="G67" t="inlineStr">
        <is>
          <t>KARLSHAMN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38212-2022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46222</v>
      </c>
      <c r="F68" t="inlineStr">
        <is>
          <t>BLEKINGE LÄN</t>
        </is>
      </c>
      <c r="G68" t="inlineStr">
        <is>
          <t>KARLSHAMN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48182-2023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45205</v>
      </c>
      <c r="E69" s="1" t="n">
        <v>46222</v>
      </c>
      <c r="F69" t="inlineStr">
        <is>
          <t>BLEKINGE LÄN</t>
        </is>
      </c>
      <c r="G69" t="inlineStr">
        <is>
          <t>KARLSHAMN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42208-2021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44426</v>
      </c>
      <c r="E70" s="1" t="n">
        <v>46222</v>
      </c>
      <c r="F70" t="inlineStr">
        <is>
          <t>BLEKINGE LÄN</t>
        </is>
      </c>
      <c r="G70" t="inlineStr">
        <is>
          <t>KARLSHAMN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17070-2024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45412</v>
      </c>
      <c r="E71" s="1" t="n">
        <v>46222</v>
      </c>
      <c r="F71" t="inlineStr">
        <is>
          <t>BLEKINGE LÄN</t>
        </is>
      </c>
      <c r="G71" t="inlineStr">
        <is>
          <t>KARLSHAMN</t>
        </is>
      </c>
      <c r="H71" t="inlineStr">
        <is>
          <t>Kyrkan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39240-2024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45550</v>
      </c>
      <c r="E72" s="1" t="n">
        <v>46222</v>
      </c>
      <c r="F72" t="inlineStr">
        <is>
          <t>BLEKINGE LÄN</t>
        </is>
      </c>
      <c r="G72" t="inlineStr">
        <is>
          <t>KARLSHAMN</t>
        </is>
      </c>
      <c r="I72" t="n">
        <v>7.4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47844-2021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44448</v>
      </c>
      <c r="E73" s="1" t="n">
        <v>46222</v>
      </c>
      <c r="F73" t="inlineStr">
        <is>
          <t>BLEKINGE LÄN</t>
        </is>
      </c>
      <c r="G73" t="inlineStr">
        <is>
          <t>KARLSHAMN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47848-2021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44448</v>
      </c>
      <c r="E74" s="1" t="n">
        <v>46222</v>
      </c>
      <c r="F74" t="inlineStr">
        <is>
          <t>BLEKINGE LÄN</t>
        </is>
      </c>
      <c r="G74" t="inlineStr">
        <is>
          <t>KARLSHAMN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56191-2023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45240</v>
      </c>
      <c r="E75" s="1" t="n">
        <v>46222</v>
      </c>
      <c r="F75" t="inlineStr">
        <is>
          <t>BLEKINGE LÄN</t>
        </is>
      </c>
      <c r="G75" t="inlineStr">
        <is>
          <t>KARLSHAMN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15358-2024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45400</v>
      </c>
      <c r="E76" s="1" t="n">
        <v>46222</v>
      </c>
      <c r="F76" t="inlineStr">
        <is>
          <t>BLEKINGE LÄN</t>
        </is>
      </c>
      <c r="G76" t="inlineStr">
        <is>
          <t>KARLSHAMN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15361-2024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45400</v>
      </c>
      <c r="E77" s="1" t="n">
        <v>46222</v>
      </c>
      <c r="F77" t="inlineStr">
        <is>
          <t>BLEKINGE LÄN</t>
        </is>
      </c>
      <c r="G77" t="inlineStr">
        <is>
          <t>KARLSHAMN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8098-2023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44970</v>
      </c>
      <c r="E78" s="1" t="n">
        <v>46222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22748-2024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45448</v>
      </c>
      <c r="E79" s="1" t="n">
        <v>46222</v>
      </c>
      <c r="F79" t="inlineStr">
        <is>
          <t>BLEKINGE LÄN</t>
        </is>
      </c>
      <c r="G79" t="inlineStr">
        <is>
          <t>KARLSHAMN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57125-2022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46222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46222</v>
      </c>
      <c r="F81" t="inlineStr">
        <is>
          <t>BLEKINGE LÄN</t>
        </is>
      </c>
      <c r="G81" t="inlineStr">
        <is>
          <t>KARLSHAMN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44939</v>
      </c>
      <c r="E82" s="1" t="n">
        <v>46222</v>
      </c>
      <c r="F82" t="inlineStr">
        <is>
          <t>BLEKINGE LÄN</t>
        </is>
      </c>
      <c r="G82" t="inlineStr">
        <is>
          <t>KARLSHAMN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9391-2023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44981</v>
      </c>
      <c r="E83" s="1" t="n">
        <v>46222</v>
      </c>
      <c r="F83" t="inlineStr">
        <is>
          <t>BLEKINGE LÄN</t>
        </is>
      </c>
      <c r="G83" t="inlineStr">
        <is>
          <t>KARLSHAMN</t>
        </is>
      </c>
      <c r="H83" t="inlineStr">
        <is>
          <t>Sveaskog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56489-2021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44480</v>
      </c>
      <c r="E84" s="1" t="n">
        <v>46222</v>
      </c>
      <c r="F84" t="inlineStr">
        <is>
          <t>BLEKINGE LÄN</t>
        </is>
      </c>
      <c r="G84" t="inlineStr">
        <is>
          <t>KARLSHAMN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8148-2024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45351</v>
      </c>
      <c r="E85" s="1" t="n">
        <v>46222</v>
      </c>
      <c r="F85" t="inlineStr">
        <is>
          <t>BLEKINGE LÄN</t>
        </is>
      </c>
      <c r="G85" t="inlineStr">
        <is>
          <t>KARLSHAMN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55077-2025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45967</v>
      </c>
      <c r="E86" s="1" t="n">
        <v>46222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26095-2025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46222</v>
      </c>
      <c r="F87" t="inlineStr">
        <is>
          <t>BLEKINGE LÄN</t>
        </is>
      </c>
      <c r="G87" t="inlineStr">
        <is>
          <t>KARLSHAMN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2059-2023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44939</v>
      </c>
      <c r="E88" s="1" t="n">
        <v>46222</v>
      </c>
      <c r="F88" t="inlineStr">
        <is>
          <t>BLEKINGE LÄN</t>
        </is>
      </c>
      <c r="G88" t="inlineStr">
        <is>
          <t>KARLSHAMN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15967-2024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45405</v>
      </c>
      <c r="E89" s="1" t="n">
        <v>46222</v>
      </c>
      <c r="F89" t="inlineStr">
        <is>
          <t>BLEKINGE LÄN</t>
        </is>
      </c>
      <c r="G89" t="inlineStr">
        <is>
          <t>KARLSHAMN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26645-2025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45810</v>
      </c>
      <c r="E90" s="1" t="n">
        <v>46222</v>
      </c>
      <c r="F90" t="inlineStr">
        <is>
          <t>BLEKINGE LÄN</t>
        </is>
      </c>
      <c r="G90" t="inlineStr">
        <is>
          <t>KARLSHAMN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3225-2026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46041</v>
      </c>
      <c r="E91" s="1" t="n">
        <v>46222</v>
      </c>
      <c r="F91" t="inlineStr">
        <is>
          <t>BLEKINGE LÄN</t>
        </is>
      </c>
      <c r="G91" t="inlineStr">
        <is>
          <t>KARLSHAMN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2572-2023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44943</v>
      </c>
      <c r="E92" s="1" t="n">
        <v>46222</v>
      </c>
      <c r="F92" t="inlineStr">
        <is>
          <t>BLEKINGE LÄN</t>
        </is>
      </c>
      <c r="G92" t="inlineStr">
        <is>
          <t>KARLSHAMN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27496-2025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45813</v>
      </c>
      <c r="E93" s="1" t="n">
        <v>46222</v>
      </c>
      <c r="F93" t="inlineStr">
        <is>
          <t>BLEKINGE LÄN</t>
        </is>
      </c>
      <c r="G93" t="inlineStr">
        <is>
          <t>KARLSHAMN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27500-2025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45813</v>
      </c>
      <c r="E94" s="1" t="n">
        <v>46222</v>
      </c>
      <c r="F94" t="inlineStr">
        <is>
          <t>BLEKINGE LÄN</t>
        </is>
      </c>
      <c r="G94" t="inlineStr">
        <is>
          <t>KARLSHAMN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27473-2025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45813</v>
      </c>
      <c r="E95" s="1" t="n">
        <v>46222</v>
      </c>
      <c r="F95" t="inlineStr">
        <is>
          <t>BLEKINGE LÄN</t>
        </is>
      </c>
      <c r="G95" t="inlineStr">
        <is>
          <t>KARLSHAMN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27487-2025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45813</v>
      </c>
      <c r="E96" s="1" t="n">
        <v>46222</v>
      </c>
      <c r="F96" t="inlineStr">
        <is>
          <t>BLEKINGE LÄN</t>
        </is>
      </c>
      <c r="G96" t="inlineStr">
        <is>
          <t>KARLSHAMN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27478-2025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45813</v>
      </c>
      <c r="E97" s="1" t="n">
        <v>46222</v>
      </c>
      <c r="F97" t="inlineStr">
        <is>
          <t>BLEKINGE LÄN</t>
        </is>
      </c>
      <c r="G97" t="inlineStr">
        <is>
          <t>KARLSHAMN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33716-2025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45841</v>
      </c>
      <c r="E98" s="1" t="n">
        <v>46222</v>
      </c>
      <c r="F98" t="inlineStr">
        <is>
          <t>BLEKINGE LÄN</t>
        </is>
      </c>
      <c r="G98" t="inlineStr">
        <is>
          <t>KARLSHAMN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10525-2022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44623</v>
      </c>
      <c r="E99" s="1" t="n">
        <v>46222</v>
      </c>
      <c r="F99" t="inlineStr">
        <is>
          <t>BLEKINGE LÄN</t>
        </is>
      </c>
      <c r="G99" t="inlineStr">
        <is>
          <t>KARLSHAMN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7984-2022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46222</v>
      </c>
      <c r="F100" t="inlineStr">
        <is>
          <t>BLEKINGE LÄN</t>
        </is>
      </c>
      <c r="G100" t="inlineStr">
        <is>
          <t>KARLSHAMN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29396-2025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45824</v>
      </c>
      <c r="E101" s="1" t="n">
        <v>46222</v>
      </c>
      <c r="F101" t="inlineStr">
        <is>
          <t>BLEKINGE LÄN</t>
        </is>
      </c>
      <c r="G101" t="inlineStr">
        <is>
          <t>KARLSHAMN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29409-2025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45824</v>
      </c>
      <c r="E102" s="1" t="n">
        <v>46222</v>
      </c>
      <c r="F102" t="inlineStr">
        <is>
          <t>BLEKINGE LÄN</t>
        </is>
      </c>
      <c r="G102" t="inlineStr">
        <is>
          <t>KARLSHAMN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39226-2024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45550</v>
      </c>
      <c r="E103" s="1" t="n">
        <v>46222</v>
      </c>
      <c r="F103" t="inlineStr">
        <is>
          <t>BLEKINGE LÄN</t>
        </is>
      </c>
      <c r="G103" t="inlineStr">
        <is>
          <t>KARLSHAMN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19745-2023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45051</v>
      </c>
      <c r="E104" s="1" t="n">
        <v>46222</v>
      </c>
      <c r="F104" t="inlineStr">
        <is>
          <t>BLEKINGE LÄN</t>
        </is>
      </c>
      <c r="G104" t="inlineStr">
        <is>
          <t>KARLSHAMN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19747-2023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45051</v>
      </c>
      <c r="E105" s="1" t="n">
        <v>46222</v>
      </c>
      <c r="F105" t="inlineStr">
        <is>
          <t>BLEKINGE LÄN</t>
        </is>
      </c>
      <c r="G105" t="inlineStr">
        <is>
          <t>KARLSHAMN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29897-2025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45826</v>
      </c>
      <c r="E106" s="1" t="n">
        <v>46222</v>
      </c>
      <c r="F106" t="inlineStr">
        <is>
          <t>BLEKINGE LÄN</t>
        </is>
      </c>
      <c r="G106" t="inlineStr">
        <is>
          <t>KARLSHAMN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41052-2025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45898</v>
      </c>
      <c r="E107" s="1" t="n">
        <v>46222</v>
      </c>
      <c r="F107" t="inlineStr">
        <is>
          <t>BLEKINGE LÄN</t>
        </is>
      </c>
      <c r="G107" t="inlineStr">
        <is>
          <t>KARLSHAMN</t>
        </is>
      </c>
      <c r="H107" t="inlineStr">
        <is>
          <t>Sveaskog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15444-2022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44660</v>
      </c>
      <c r="E108" s="1" t="n">
        <v>46222</v>
      </c>
      <c r="F108" t="inlineStr">
        <is>
          <t>BLEKINGE LÄN</t>
        </is>
      </c>
      <c r="G108" t="inlineStr">
        <is>
          <t>KARLSHAMN</t>
        </is>
      </c>
      <c r="H108" t="inlineStr">
        <is>
          <t>Kommuner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41061-2025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46222</v>
      </c>
      <c r="F109" t="inlineStr">
        <is>
          <t>BLEKINGE LÄN</t>
        </is>
      </c>
      <c r="G109" t="inlineStr">
        <is>
          <t>KARLSHAMN</t>
        </is>
      </c>
      <c r="H109" t="inlineStr">
        <is>
          <t>Sveaskog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41313-2025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46222</v>
      </c>
      <c r="F110" t="inlineStr">
        <is>
          <t>BLEKINGE LÄN</t>
        </is>
      </c>
      <c r="G110" t="inlineStr">
        <is>
          <t>KARLSHAMN</t>
        </is>
      </c>
      <c r="H110" t="inlineStr">
        <is>
          <t>Sveaskog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36597-2025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45870</v>
      </c>
      <c r="E111" s="1" t="n">
        <v>46222</v>
      </c>
      <c r="F111" t="inlineStr">
        <is>
          <t>BLEKINGE LÄN</t>
        </is>
      </c>
      <c r="G111" t="inlineStr">
        <is>
          <t>KARLSHAMN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42619-2025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46222</v>
      </c>
      <c r="F112" t="inlineStr">
        <is>
          <t>BLEKINGE LÄN</t>
        </is>
      </c>
      <c r="G112" t="inlineStr">
        <is>
          <t>KARLSHAMN</t>
        </is>
      </c>
      <c r="I112" t="n">
        <v>20.9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42770-2025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46222</v>
      </c>
      <c r="F113" t="inlineStr">
        <is>
          <t>BLEKINGE LÄN</t>
        </is>
      </c>
      <c r="G113" t="inlineStr">
        <is>
          <t>KARLSHAMN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19899-2023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45054</v>
      </c>
      <c r="E114" s="1" t="n">
        <v>46222</v>
      </c>
      <c r="F114" t="inlineStr">
        <is>
          <t>BLEKINGE LÄN</t>
        </is>
      </c>
      <c r="G114" t="inlineStr">
        <is>
          <t>KARLSHAMN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42775-2025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46222</v>
      </c>
      <c r="F115" t="inlineStr">
        <is>
          <t>BLEKINGE LÄN</t>
        </is>
      </c>
      <c r="G115" t="inlineStr">
        <is>
          <t>KARLSHAMN</t>
        </is>
      </c>
      <c r="H115" t="inlineStr">
        <is>
          <t>Sveaskog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48181-2023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45205</v>
      </c>
      <c r="E116" s="1" t="n">
        <v>46222</v>
      </c>
      <c r="F116" t="inlineStr">
        <is>
          <t>BLEKINGE LÄN</t>
        </is>
      </c>
      <c r="G116" t="inlineStr">
        <is>
          <t>KARLSHAMN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48186-2023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46222</v>
      </c>
      <c r="F117" t="inlineStr">
        <is>
          <t>BLEKINGE LÄN</t>
        </is>
      </c>
      <c r="G117" t="inlineStr">
        <is>
          <t>KARLSHAMN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43360-2025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46222</v>
      </c>
      <c r="F118" t="inlineStr">
        <is>
          <t>BLEKINGE LÄN</t>
        </is>
      </c>
      <c r="G118" t="inlineStr">
        <is>
          <t>KARLSHAMN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44953-2025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46222</v>
      </c>
      <c r="F119" t="inlineStr">
        <is>
          <t>BLEKINGE LÄN</t>
        </is>
      </c>
      <c r="G119" t="inlineStr">
        <is>
          <t>KARLSHAMN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34458-2025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45846</v>
      </c>
      <c r="E120" s="1" t="n">
        <v>46222</v>
      </c>
      <c r="F120" t="inlineStr">
        <is>
          <t>BLEKINGE LÄN</t>
        </is>
      </c>
      <c r="G120" t="inlineStr">
        <is>
          <t>KARLSHAMN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4119-2023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44952</v>
      </c>
      <c r="E121" s="1" t="n">
        <v>46222</v>
      </c>
      <c r="F121" t="inlineStr">
        <is>
          <t>BLEKINGE LÄN</t>
        </is>
      </c>
      <c r="G121" t="inlineStr">
        <is>
          <t>KARLSHAMN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44952</v>
      </c>
      <c r="E122" s="1" t="n">
        <v>46222</v>
      </c>
      <c r="F122" t="inlineStr">
        <is>
          <t>BLEKINGE LÄN</t>
        </is>
      </c>
      <c r="G122" t="inlineStr">
        <is>
          <t>KARLSHAMN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10008-2025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46222</v>
      </c>
      <c r="F123" t="inlineStr">
        <is>
          <t>BLEKINGE LÄN</t>
        </is>
      </c>
      <c r="G123" t="inlineStr">
        <is>
          <t>KARLSHAMN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34247-2025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45845</v>
      </c>
      <c r="E124" s="1" t="n">
        <v>46222</v>
      </c>
      <c r="F124" t="inlineStr">
        <is>
          <t>BLEKINGE LÄN</t>
        </is>
      </c>
      <c r="G124" t="inlineStr">
        <is>
          <t>KARLSHAMN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14224-2025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46222</v>
      </c>
      <c r="F125" t="inlineStr">
        <is>
          <t>BLEKINGE LÄN</t>
        </is>
      </c>
      <c r="G125" t="inlineStr">
        <is>
          <t>KARLSHAMN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7246-2024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45344</v>
      </c>
      <c r="E126" s="1" t="n">
        <v>46222</v>
      </c>
      <c r="F126" t="inlineStr">
        <is>
          <t>BLEKINGE LÄN</t>
        </is>
      </c>
      <c r="G126" t="inlineStr">
        <is>
          <t>KARLSHAMN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34967-2025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45849</v>
      </c>
      <c r="E127" s="1" t="n">
        <v>46222</v>
      </c>
      <c r="F127" t="inlineStr">
        <is>
          <t>BLEKINGE LÄN</t>
        </is>
      </c>
      <c r="G127" t="inlineStr">
        <is>
          <t>KARLSHAMN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46749-2025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46222</v>
      </c>
      <c r="F128" t="inlineStr">
        <is>
          <t>BLEKINGE LÄN</t>
        </is>
      </c>
      <c r="G128" t="inlineStr">
        <is>
          <t>KARLSHAMN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43636-2025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46222</v>
      </c>
      <c r="F129" t="inlineStr">
        <is>
          <t>BLEKINGE LÄN</t>
        </is>
      </c>
      <c r="G129" t="inlineStr">
        <is>
          <t>KARLSHAMN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46752-2025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46222</v>
      </c>
      <c r="F130" t="inlineStr">
        <is>
          <t>BLEKINGE LÄN</t>
        </is>
      </c>
      <c r="G130" t="inlineStr">
        <is>
          <t>KARLSHAMN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6222-2026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46055</v>
      </c>
      <c r="E131" s="1" t="n">
        <v>46222</v>
      </c>
      <c r="F131" t="inlineStr">
        <is>
          <t>BLEKINGE LÄN</t>
        </is>
      </c>
      <c r="G131" t="inlineStr">
        <is>
          <t>KARLSHAMN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35442-2025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45855</v>
      </c>
      <c r="E132" s="1" t="n">
        <v>46222</v>
      </c>
      <c r="F132" t="inlineStr">
        <is>
          <t>BLEKINGE LÄN</t>
        </is>
      </c>
      <c r="G132" t="inlineStr">
        <is>
          <t>KARLSHAMN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1747-2024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45307</v>
      </c>
      <c r="E133" s="1" t="n">
        <v>46222</v>
      </c>
      <c r="F133" t="inlineStr">
        <is>
          <t>BLEKINGE LÄN</t>
        </is>
      </c>
      <c r="G133" t="inlineStr">
        <is>
          <t>KARLSHAMN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7356-2023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44971</v>
      </c>
      <c r="E134" s="1" t="n">
        <v>46222</v>
      </c>
      <c r="F134" t="inlineStr">
        <is>
          <t>BLEKINGE LÄN</t>
        </is>
      </c>
      <c r="G134" t="inlineStr">
        <is>
          <t>KARLSHAMN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3099-2023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44946</v>
      </c>
      <c r="E135" s="1" t="n">
        <v>46222</v>
      </c>
      <c r="F135" t="inlineStr">
        <is>
          <t>BLEKINGE LÄN</t>
        </is>
      </c>
      <c r="G135" t="inlineStr">
        <is>
          <t>KARLSHAMN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50659-2024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45601</v>
      </c>
      <c r="E136" s="1" t="n">
        <v>46222</v>
      </c>
      <c r="F136" t="inlineStr">
        <is>
          <t>BLEKINGE LÄN</t>
        </is>
      </c>
      <c r="G136" t="inlineStr">
        <is>
          <t>KARLSHAMN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4012-2023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44952</v>
      </c>
      <c r="E137" s="1" t="n">
        <v>46222</v>
      </c>
      <c r="F137" t="inlineStr">
        <is>
          <t>BLEKINGE LÄN</t>
        </is>
      </c>
      <c r="G137" t="inlineStr">
        <is>
          <t>KARLSHAMN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58786-2022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44903</v>
      </c>
      <c r="E138" s="1" t="n">
        <v>46222</v>
      </c>
      <c r="F138" t="inlineStr">
        <is>
          <t>BLEKINGE LÄN</t>
        </is>
      </c>
      <c r="G138" t="inlineStr">
        <is>
          <t>KARLSHAMN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13867-2025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45737</v>
      </c>
      <c r="E139" s="1" t="n">
        <v>46222</v>
      </c>
      <c r="F139" t="inlineStr">
        <is>
          <t>BLEKINGE LÄN</t>
        </is>
      </c>
      <c r="G139" t="inlineStr">
        <is>
          <t>KARLSHAMN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48853-2025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46222</v>
      </c>
      <c r="F140" t="inlineStr">
        <is>
          <t>BLEKINGE LÄN</t>
        </is>
      </c>
      <c r="G140" t="inlineStr">
        <is>
          <t>KARLSHAMN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33715-2025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46222</v>
      </c>
      <c r="F141" t="inlineStr">
        <is>
          <t>BLEKINGE LÄN</t>
        </is>
      </c>
      <c r="G141" t="inlineStr">
        <is>
          <t>KARLSHAMN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6881-2026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46057</v>
      </c>
      <c r="E142" s="1" t="n">
        <v>46222</v>
      </c>
      <c r="F142" t="inlineStr">
        <is>
          <t>BLEKINGE LÄN</t>
        </is>
      </c>
      <c r="G142" t="inlineStr">
        <is>
          <t>KARLSHAMN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37024-2025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45874</v>
      </c>
      <c r="E143" s="1" t="n">
        <v>46222</v>
      </c>
      <c r="F143" t="inlineStr">
        <is>
          <t>BLEKINGE LÄN</t>
        </is>
      </c>
      <c r="G143" t="inlineStr">
        <is>
          <t>KARLSHAMN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49649-2025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46222</v>
      </c>
      <c r="F144" t="inlineStr">
        <is>
          <t>BLEKINGE LÄN</t>
        </is>
      </c>
      <c r="G144" t="inlineStr">
        <is>
          <t>KARLSHAMN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24380-2024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45457</v>
      </c>
      <c r="E145" s="1" t="n">
        <v>46222</v>
      </c>
      <c r="F145" t="inlineStr">
        <is>
          <t>BLEKINGE LÄN</t>
        </is>
      </c>
      <c r="G145" t="inlineStr">
        <is>
          <t>KARLSHAMN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59573-2023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46222</v>
      </c>
      <c r="F146" t="inlineStr">
        <is>
          <t>BLEKINGE LÄN</t>
        </is>
      </c>
      <c r="G146" t="inlineStr">
        <is>
          <t>KARLSHAMN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3820-2022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44586</v>
      </c>
      <c r="E147" s="1" t="n">
        <v>46222</v>
      </c>
      <c r="F147" t="inlineStr">
        <is>
          <t>BLEKINGE LÄN</t>
        </is>
      </c>
      <c r="G147" t="inlineStr">
        <is>
          <t>KARLSHAMN</t>
        </is>
      </c>
      <c r="I147" t="n">
        <v>12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38930-2021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44410</v>
      </c>
      <c r="E148" s="1" t="n">
        <v>46222</v>
      </c>
      <c r="F148" t="inlineStr">
        <is>
          <t>BLEKINGE LÄN</t>
        </is>
      </c>
      <c r="G148" t="inlineStr">
        <is>
          <t>KARLSHAMN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35271-2022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44797</v>
      </c>
      <c r="E149" s="1" t="n">
        <v>46222</v>
      </c>
      <c r="F149" t="inlineStr">
        <is>
          <t>BLEKINGE LÄN</t>
        </is>
      </c>
      <c r="G149" t="inlineStr">
        <is>
          <t>KARLSHAMN</t>
        </is>
      </c>
      <c r="I149" t="n">
        <v>7.9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38980-2023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46222</v>
      </c>
      <c r="F150" t="inlineStr">
        <is>
          <t>BLEKINGE LÄN</t>
        </is>
      </c>
      <c r="G150" t="inlineStr">
        <is>
          <t>KARLSHAMN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13847-2022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44649</v>
      </c>
      <c r="E151" s="1" t="n">
        <v>46222</v>
      </c>
      <c r="F151" t="inlineStr">
        <is>
          <t>BLEKINGE LÄN</t>
        </is>
      </c>
      <c r="G151" t="inlineStr">
        <is>
          <t>KARLSHAMN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51531-2025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45950</v>
      </c>
      <c r="E152" s="1" t="n">
        <v>46222</v>
      </c>
      <c r="F152" t="inlineStr">
        <is>
          <t>BLEKINGE LÄN</t>
        </is>
      </c>
      <c r="G152" t="inlineStr">
        <is>
          <t>KARLSHAMN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17440-2023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45035</v>
      </c>
      <c r="E153" s="1" t="n">
        <v>46222</v>
      </c>
      <c r="F153" t="inlineStr">
        <is>
          <t>BLEKINGE LÄN</t>
        </is>
      </c>
      <c r="G153" t="inlineStr">
        <is>
          <t>KARLSHAMN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37124-2021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44395</v>
      </c>
      <c r="E154" s="1" t="n">
        <v>46222</v>
      </c>
      <c r="F154" t="inlineStr">
        <is>
          <t>BLEKINGE LÄN</t>
        </is>
      </c>
      <c r="G154" t="inlineStr">
        <is>
          <t>KARLSHAMN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35625-2023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45147</v>
      </c>
      <c r="E155" s="1" t="n">
        <v>46222</v>
      </c>
      <c r="F155" t="inlineStr">
        <is>
          <t>BLEKINGE LÄN</t>
        </is>
      </c>
      <c r="G155" t="inlineStr">
        <is>
          <t>KARLSHAMN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10902-2025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45722</v>
      </c>
      <c r="E156" s="1" t="n">
        <v>46222</v>
      </c>
      <c r="F156" t="inlineStr">
        <is>
          <t>BLEKINGE LÄN</t>
        </is>
      </c>
      <c r="G156" t="inlineStr">
        <is>
          <t>KARLSHAMN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58379-2024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46222</v>
      </c>
      <c r="F157" t="inlineStr">
        <is>
          <t>BLEKINGE LÄN</t>
        </is>
      </c>
      <c r="G157" t="inlineStr">
        <is>
          <t>KARLSHAMN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52258-2025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46222</v>
      </c>
      <c r="F158" t="inlineStr">
        <is>
          <t>BLEKINGE LÄN</t>
        </is>
      </c>
      <c r="G158" t="inlineStr">
        <is>
          <t>KARLSHAMN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35828-2023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45148</v>
      </c>
      <c r="E159" s="1" t="n">
        <v>46222</v>
      </c>
      <c r="F159" t="inlineStr">
        <is>
          <t>BLEKINGE LÄN</t>
        </is>
      </c>
      <c r="G159" t="inlineStr">
        <is>
          <t>KARLSHAMN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21811-2023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45068</v>
      </c>
      <c r="E160" s="1" t="n">
        <v>46222</v>
      </c>
      <c r="F160" t="inlineStr">
        <is>
          <t>BLEKINGE LÄN</t>
        </is>
      </c>
      <c r="G160" t="inlineStr">
        <is>
          <t>KARLSHAMN</t>
        </is>
      </c>
      <c r="H160" t="inlineStr">
        <is>
          <t>Kommuner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52892-2025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46222</v>
      </c>
      <c r="F161" t="inlineStr">
        <is>
          <t>BLEKINGE LÄN</t>
        </is>
      </c>
      <c r="G161" t="inlineStr">
        <is>
          <t>KARLSHAMN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34305-2023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45138</v>
      </c>
      <c r="E162" s="1" t="n">
        <v>46222</v>
      </c>
      <c r="F162" t="inlineStr">
        <is>
          <t>BLEKINGE LÄN</t>
        </is>
      </c>
      <c r="G162" t="inlineStr">
        <is>
          <t>KARLSHAMN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58920-2025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45987</v>
      </c>
      <c r="E163" s="1" t="n">
        <v>46222</v>
      </c>
      <c r="F163" t="inlineStr">
        <is>
          <t>BLEKINGE LÄN</t>
        </is>
      </c>
      <c r="G163" t="inlineStr">
        <is>
          <t>KARLSHAMN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53585-2025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45960</v>
      </c>
      <c r="E164" s="1" t="n">
        <v>46222</v>
      </c>
      <c r="F164" t="inlineStr">
        <is>
          <t>BLEKINGE LÄN</t>
        </is>
      </c>
      <c r="G164" t="inlineStr">
        <is>
          <t>KARLSHAMN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38217-2022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44812</v>
      </c>
      <c r="E165" s="1" t="n">
        <v>46222</v>
      </c>
      <c r="F165" t="inlineStr">
        <is>
          <t>BLEKINGE LÄN</t>
        </is>
      </c>
      <c r="G165" t="inlineStr">
        <is>
          <t>KARLSHAMN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40569-2022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44823</v>
      </c>
      <c r="E166" s="1" t="n">
        <v>46222</v>
      </c>
      <c r="F166" t="inlineStr">
        <is>
          <t>BLEKINGE LÄN</t>
        </is>
      </c>
      <c r="G166" t="inlineStr">
        <is>
          <t>KARLSHAMN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41994-2022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44827</v>
      </c>
      <c r="E167" s="1" t="n">
        <v>46222</v>
      </c>
      <c r="F167" t="inlineStr">
        <is>
          <t>BLEKINGE LÄN</t>
        </is>
      </c>
      <c r="G167" t="inlineStr">
        <is>
          <t>KARLSHAMN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45687</v>
      </c>
      <c r="E168" s="1" t="n">
        <v>46222</v>
      </c>
      <c r="F168" t="inlineStr">
        <is>
          <t>BLEKINGE LÄN</t>
        </is>
      </c>
      <c r="G168" t="inlineStr">
        <is>
          <t>KARLSHAMN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55076-2025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46222</v>
      </c>
      <c r="F169" t="inlineStr">
        <is>
          <t>BLEKINGE LÄN</t>
        </is>
      </c>
      <c r="G169" t="inlineStr">
        <is>
          <t>KARLSHAMN</t>
        </is>
      </c>
      <c r="H169" t="inlineStr">
        <is>
          <t>Sveaskog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45566-2022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44845</v>
      </c>
      <c r="E170" s="1" t="n">
        <v>46222</v>
      </c>
      <c r="F170" t="inlineStr">
        <is>
          <t>BLEKINGE LÄN</t>
        </is>
      </c>
      <c r="G170" t="inlineStr">
        <is>
          <t>KARLSHAMN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55075-2025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46222</v>
      </c>
      <c r="F171" t="inlineStr">
        <is>
          <t>BLEKINGE LÄN</t>
        </is>
      </c>
      <c r="G171" t="inlineStr">
        <is>
          <t>KARLSHAMN</t>
        </is>
      </c>
      <c r="H171" t="inlineStr">
        <is>
          <t>Sveaskog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18095-2023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45037</v>
      </c>
      <c r="E172" s="1" t="n">
        <v>46222</v>
      </c>
      <c r="F172" t="inlineStr">
        <is>
          <t>BLEKINGE LÄN</t>
        </is>
      </c>
      <c r="G172" t="inlineStr">
        <is>
          <t>KARLSHAMN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12572-2025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45732</v>
      </c>
      <c r="E173" s="1" t="n">
        <v>46222</v>
      </c>
      <c r="F173" t="inlineStr">
        <is>
          <t>BLEKINGE LÄN</t>
        </is>
      </c>
      <c r="G173" t="inlineStr">
        <is>
          <t>KARLSHAMN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24279-2023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45079</v>
      </c>
      <c r="E174" s="1" t="n">
        <v>46222</v>
      </c>
      <c r="F174" t="inlineStr">
        <is>
          <t>BLEKINGE LÄN</t>
        </is>
      </c>
      <c r="G174" t="inlineStr">
        <is>
          <t>KARLSHAMN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57678-2023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45246</v>
      </c>
      <c r="E175" s="1" t="n">
        <v>46222</v>
      </c>
      <c r="F175" t="inlineStr">
        <is>
          <t>BLEKINGE LÄN</t>
        </is>
      </c>
      <c r="G175" t="inlineStr">
        <is>
          <t>KARLSHAMN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57687-2023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45246</v>
      </c>
      <c r="E176" s="1" t="n">
        <v>46222</v>
      </c>
      <c r="F176" t="inlineStr">
        <is>
          <t>BLEKINGE LÄN</t>
        </is>
      </c>
      <c r="G176" t="inlineStr">
        <is>
          <t>KARLSHAMN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11544-2026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46083</v>
      </c>
      <c r="E177" s="1" t="n">
        <v>46222</v>
      </c>
      <c r="F177" t="inlineStr">
        <is>
          <t>BLEKINGE LÄN</t>
        </is>
      </c>
      <c r="G177" t="inlineStr">
        <is>
          <t>KARLSHAMN</t>
        </is>
      </c>
      <c r="I177" t="n">
        <v>10.8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57842-2025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45981</v>
      </c>
      <c r="E178" s="1" t="n">
        <v>46222</v>
      </c>
      <c r="F178" t="inlineStr">
        <is>
          <t>BLEKINGE LÄN</t>
        </is>
      </c>
      <c r="G178" t="inlineStr">
        <is>
          <t>KARLSHAMN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57826-2025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45981</v>
      </c>
      <c r="E179" s="1" t="n">
        <v>46222</v>
      </c>
      <c r="F179" t="inlineStr">
        <is>
          <t>BLEKINGE LÄN</t>
        </is>
      </c>
      <c r="G179" t="inlineStr">
        <is>
          <t>KARLSHAMN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62560-2022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44924</v>
      </c>
      <c r="E180" s="1" t="n">
        <v>46222</v>
      </c>
      <c r="F180" t="inlineStr">
        <is>
          <t>BLEKINGE LÄN</t>
        </is>
      </c>
      <c r="G180" t="inlineStr">
        <is>
          <t>KARLSHAMN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58753-2025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46222</v>
      </c>
      <c r="F181" t="inlineStr">
        <is>
          <t>BLEKINGE LÄN</t>
        </is>
      </c>
      <c r="G181" t="inlineStr">
        <is>
          <t>KARLSHAMN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59276-2025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45988</v>
      </c>
      <c r="E182" s="1" t="n">
        <v>46222</v>
      </c>
      <c r="F182" t="inlineStr">
        <is>
          <t>BLEKINGE LÄN</t>
        </is>
      </c>
      <c r="G182" t="inlineStr">
        <is>
          <t>KARLSHAMN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12577-2026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46090</v>
      </c>
      <c r="E183" s="1" t="n">
        <v>46222</v>
      </c>
      <c r="F183" t="inlineStr">
        <is>
          <t>BLEKINGE LÄN</t>
        </is>
      </c>
      <c r="G183" t="inlineStr">
        <is>
          <t>KARLSHAMN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44702-2025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46222</v>
      </c>
      <c r="F184" t="inlineStr">
        <is>
          <t>BLEKINGE LÄN</t>
        </is>
      </c>
      <c r="G184" t="inlineStr">
        <is>
          <t>KARLSHAMN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49688-2024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45596</v>
      </c>
      <c r="E185" s="1" t="n">
        <v>46222</v>
      </c>
      <c r="F185" t="inlineStr">
        <is>
          <t>BLEKINGE LÄN</t>
        </is>
      </c>
      <c r="G185" t="inlineStr">
        <is>
          <t>KARLSHAMN</t>
        </is>
      </c>
      <c r="I185" t="n">
        <v>10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49689-2024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45596</v>
      </c>
      <c r="E186" s="1" t="n">
        <v>46222</v>
      </c>
      <c r="F186" t="inlineStr">
        <is>
          <t>BLEKINGE LÄN</t>
        </is>
      </c>
      <c r="G186" t="inlineStr">
        <is>
          <t>KARLSHAMN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13523-2026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46094</v>
      </c>
      <c r="E187" s="1" t="n">
        <v>46222</v>
      </c>
      <c r="F187" t="inlineStr">
        <is>
          <t>BLEKINGE LÄN</t>
        </is>
      </c>
      <c r="G187" t="inlineStr">
        <is>
          <t>KARLSHAMN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13733-2026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46097</v>
      </c>
      <c r="E188" s="1" t="n">
        <v>46222</v>
      </c>
      <c r="F188" t="inlineStr">
        <is>
          <t>BLEKINGE LÄN</t>
        </is>
      </c>
      <c r="G188" t="inlineStr">
        <is>
          <t>KARLSHAMN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13602-2026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46097</v>
      </c>
      <c r="E189" s="1" t="n">
        <v>46222</v>
      </c>
      <c r="F189" t="inlineStr">
        <is>
          <t>BLEKINGE LÄN</t>
        </is>
      </c>
      <c r="G189" t="inlineStr">
        <is>
          <t>KARLSHAMN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37454-2024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45540</v>
      </c>
      <c r="E190" s="1" t="n">
        <v>46222</v>
      </c>
      <c r="F190" t="inlineStr">
        <is>
          <t>BLEKINGE LÄN</t>
        </is>
      </c>
      <c r="G190" t="inlineStr">
        <is>
          <t>KARLSHAMN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61432-2025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46222</v>
      </c>
      <c r="F191" t="inlineStr">
        <is>
          <t>BLEKINGE LÄN</t>
        </is>
      </c>
      <c r="G191" t="inlineStr">
        <is>
          <t>KARLSHAMN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61512-2025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46222</v>
      </c>
      <c r="F192" t="inlineStr">
        <is>
          <t>BLEKINGE LÄN</t>
        </is>
      </c>
      <c r="G192" t="inlineStr">
        <is>
          <t>KARLSHAMN</t>
        </is>
      </c>
      <c r="H192" t="inlineStr">
        <is>
          <t>Sveaskog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61516-2025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46222</v>
      </c>
      <c r="F193" t="inlineStr">
        <is>
          <t>BLEKINGE LÄN</t>
        </is>
      </c>
      <c r="G193" t="inlineStr">
        <is>
          <t>KARLSHAMN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58015-2024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45631</v>
      </c>
      <c r="E194" s="1" t="n">
        <v>46222</v>
      </c>
      <c r="F194" t="inlineStr">
        <is>
          <t>BLEKINGE LÄN</t>
        </is>
      </c>
      <c r="G194" t="inlineStr">
        <is>
          <t>KARLSHAMN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44959</v>
      </c>
      <c r="E195" s="1" t="n">
        <v>46222</v>
      </c>
      <c r="F195" t="inlineStr">
        <is>
          <t>BLEKINGE LÄN</t>
        </is>
      </c>
      <c r="G195" t="inlineStr">
        <is>
          <t>KARLSHAMN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40052-2025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45894</v>
      </c>
      <c r="E196" s="1" t="n">
        <v>46222</v>
      </c>
      <c r="F196" t="inlineStr">
        <is>
          <t>BLEKINGE LÄN</t>
        </is>
      </c>
      <c r="G196" t="inlineStr">
        <is>
          <t>KARLSHAMN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25860-2023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45090</v>
      </c>
      <c r="E197" s="1" t="n">
        <v>46222</v>
      </c>
      <c r="F197" t="inlineStr">
        <is>
          <t>BLEKINGE LÄN</t>
        </is>
      </c>
      <c r="G197" t="inlineStr">
        <is>
          <t>KARLSHAMN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40046-2025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45894</v>
      </c>
      <c r="E198" s="1" t="n">
        <v>46222</v>
      </c>
      <c r="F198" t="inlineStr">
        <is>
          <t>BLEKINGE LÄN</t>
        </is>
      </c>
      <c r="G198" t="inlineStr">
        <is>
          <t>KARLSHAMN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41892-2025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45903</v>
      </c>
      <c r="E199" s="1" t="n">
        <v>46222</v>
      </c>
      <c r="F199" t="inlineStr">
        <is>
          <t>BLEKINGE LÄN</t>
        </is>
      </c>
      <c r="G199" t="inlineStr">
        <is>
          <t>KARLSHAMN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53194-2023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45229</v>
      </c>
      <c r="E200" s="1" t="n">
        <v>46222</v>
      </c>
      <c r="F200" t="inlineStr">
        <is>
          <t>BLEKINGE LÄN</t>
        </is>
      </c>
      <c r="G200" t="inlineStr">
        <is>
          <t>KARLSHAMN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14335-2026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46100</v>
      </c>
      <c r="E201" s="1" t="n">
        <v>46222</v>
      </c>
      <c r="F201" t="inlineStr">
        <is>
          <t>BLEKINGE LÄN</t>
        </is>
      </c>
      <c r="G201" t="inlineStr">
        <is>
          <t>KARLSHAMN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15134-2026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46104</v>
      </c>
      <c r="E202" s="1" t="n">
        <v>46222</v>
      </c>
      <c r="F202" t="inlineStr">
        <is>
          <t>BLEKINGE LÄN</t>
        </is>
      </c>
      <c r="G202" t="inlineStr">
        <is>
          <t>KARLSHAMN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15471-2026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46106</v>
      </c>
      <c r="E203" s="1" t="n">
        <v>46222</v>
      </c>
      <c r="F203" t="inlineStr">
        <is>
          <t>BLEKINGE LÄN</t>
        </is>
      </c>
      <c r="G203" t="inlineStr">
        <is>
          <t>KARLSHAMN</t>
        </is>
      </c>
      <c r="H203" t="inlineStr">
        <is>
          <t>Sveaskog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54854-2023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45236</v>
      </c>
      <c r="E204" s="1" t="n">
        <v>46222</v>
      </c>
      <c r="F204" t="inlineStr">
        <is>
          <t>BLEKINGE LÄN</t>
        </is>
      </c>
      <c r="G204" t="inlineStr">
        <is>
          <t>KARLSHAMN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15621-2026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46222</v>
      </c>
      <c r="F205" t="inlineStr">
        <is>
          <t>BLEKINGE LÄN</t>
        </is>
      </c>
      <c r="G205" t="inlineStr">
        <is>
          <t>KARLSHAMN</t>
        </is>
      </c>
      <c r="H205" t="inlineStr">
        <is>
          <t>Övriga Aktiebolag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39404-2023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46222</v>
      </c>
      <c r="F206" t="inlineStr">
        <is>
          <t>BLEKINGE LÄN</t>
        </is>
      </c>
      <c r="G206" t="inlineStr">
        <is>
          <t>KARLSHAMN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29389-2025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45824</v>
      </c>
      <c r="E207" s="1" t="n">
        <v>46222</v>
      </c>
      <c r="F207" t="inlineStr">
        <is>
          <t>BLEKINGE LÄN</t>
        </is>
      </c>
      <c r="G207" t="inlineStr">
        <is>
          <t>KARLSHAMN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1214-2023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46222</v>
      </c>
      <c r="F208" t="inlineStr">
        <is>
          <t>BLEKINGE LÄN</t>
        </is>
      </c>
      <c r="G208" t="inlineStr">
        <is>
          <t>KARLSHAMN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52199-2025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45953</v>
      </c>
      <c r="E209" s="1" t="n">
        <v>46222</v>
      </c>
      <c r="F209" t="inlineStr">
        <is>
          <t>BLEKINGE LÄN</t>
        </is>
      </c>
      <c r="G209" t="inlineStr">
        <is>
          <t>KARLSHAMN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35821-2023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45148</v>
      </c>
      <c r="E210" s="1" t="n">
        <v>46222</v>
      </c>
      <c r="F210" t="inlineStr">
        <is>
          <t>BLEKINGE LÄN</t>
        </is>
      </c>
      <c r="G210" t="inlineStr">
        <is>
          <t>KARLSHAMN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52195-2025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45953</v>
      </c>
      <c r="E211" s="1" t="n">
        <v>46222</v>
      </c>
      <c r="F211" t="inlineStr">
        <is>
          <t>BLEKINGE LÄN</t>
        </is>
      </c>
      <c r="G211" t="inlineStr">
        <is>
          <t>KARLSHAMN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16905-2026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46113</v>
      </c>
      <c r="E212" s="1" t="n">
        <v>46222</v>
      </c>
      <c r="F212" t="inlineStr">
        <is>
          <t>BLEKINGE LÄN</t>
        </is>
      </c>
      <c r="G212" t="inlineStr">
        <is>
          <t>KARLSHAMN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16909-2026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46113</v>
      </c>
      <c r="E213" s="1" t="n">
        <v>46222</v>
      </c>
      <c r="F213" t="inlineStr">
        <is>
          <t>BLEKINGE LÄN</t>
        </is>
      </c>
      <c r="G213" t="inlineStr">
        <is>
          <t>KARLSHAMN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16901-2026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46222</v>
      </c>
      <c r="F214" t="inlineStr">
        <is>
          <t>BLEKINGE LÄN</t>
        </is>
      </c>
      <c r="G214" t="inlineStr">
        <is>
          <t>KARLSHAMN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44943</v>
      </c>
      <c r="E215" s="1" t="n">
        <v>46222</v>
      </c>
      <c r="F215" t="inlineStr">
        <is>
          <t>BLEKINGE LÄN</t>
        </is>
      </c>
      <c r="G215" t="inlineStr">
        <is>
          <t>KARLSHAMN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66267-2021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44518</v>
      </c>
      <c r="E216" s="1" t="n">
        <v>46222</v>
      </c>
      <c r="F216" t="inlineStr">
        <is>
          <t>BLEKINGE LÄN</t>
        </is>
      </c>
      <c r="G216" t="inlineStr">
        <is>
          <t>KARLSHAMN</t>
        </is>
      </c>
      <c r="H216" t="inlineStr">
        <is>
          <t>Sveaskog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11721-2024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45373</v>
      </c>
      <c r="E217" s="1" t="n">
        <v>46222</v>
      </c>
      <c r="F217" t="inlineStr">
        <is>
          <t>BLEKINGE LÄN</t>
        </is>
      </c>
      <c r="G217" t="inlineStr">
        <is>
          <t>KARLSHAMN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56506-2021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46222</v>
      </c>
      <c r="F218" t="inlineStr">
        <is>
          <t>BLEKINGE LÄN</t>
        </is>
      </c>
      <c r="G218" t="inlineStr">
        <is>
          <t>KARLSHAMN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33557-2024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45519</v>
      </c>
      <c r="E219" s="1" t="n">
        <v>46222</v>
      </c>
      <c r="F219" t="inlineStr">
        <is>
          <t>BLEKINGE LÄN</t>
        </is>
      </c>
      <c r="G219" t="inlineStr">
        <is>
          <t>KARLSHAMN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49719-2023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45212</v>
      </c>
      <c r="E220" s="1" t="n">
        <v>46222</v>
      </c>
      <c r="F220" t="inlineStr">
        <is>
          <t>BLEKINGE LÄN</t>
        </is>
      </c>
      <c r="G220" t="inlineStr">
        <is>
          <t>KARLSHAMN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17768-2026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46122</v>
      </c>
      <c r="E221" s="1" t="n">
        <v>46222</v>
      </c>
      <c r="F221" t="inlineStr">
        <is>
          <t>BLEKINGE LÄN</t>
        </is>
      </c>
      <c r="G221" t="inlineStr">
        <is>
          <t>KARLSHAMN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31263-2023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45114</v>
      </c>
      <c r="E222" s="1" t="n">
        <v>46222</v>
      </c>
      <c r="F222" t="inlineStr">
        <is>
          <t>BLEKINGE LÄN</t>
        </is>
      </c>
      <c r="G222" t="inlineStr">
        <is>
          <t>KARLSHAMN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19544-2024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45429</v>
      </c>
      <c r="E223" s="1" t="n">
        <v>46222</v>
      </c>
      <c r="F223" t="inlineStr">
        <is>
          <t>BLEKINGE LÄN</t>
        </is>
      </c>
      <c r="G223" t="inlineStr">
        <is>
          <t>KARLSHAMN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14136-2023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45009</v>
      </c>
      <c r="E224" s="1" t="n">
        <v>46222</v>
      </c>
      <c r="F224" t="inlineStr">
        <is>
          <t>BLEKINGE LÄN</t>
        </is>
      </c>
      <c r="G224" t="inlineStr">
        <is>
          <t>KARLSHAMN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45885-2024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45580</v>
      </c>
      <c r="E225" s="1" t="n">
        <v>46222</v>
      </c>
      <c r="F225" t="inlineStr">
        <is>
          <t>BLEKINGE LÄN</t>
        </is>
      </c>
      <c r="G225" t="inlineStr">
        <is>
          <t>KARLSHAMN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42371-2023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45180</v>
      </c>
      <c r="E226" s="1" t="n">
        <v>46222</v>
      </c>
      <c r="F226" t="inlineStr">
        <is>
          <t>BLEKINGE LÄN</t>
        </is>
      </c>
      <c r="G226" t="inlineStr">
        <is>
          <t>KARLSHAMN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34470-2025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46222</v>
      </c>
      <c r="F227" t="inlineStr">
        <is>
          <t>BLEKINGE LÄN</t>
        </is>
      </c>
      <c r="G227" t="inlineStr">
        <is>
          <t>KARLSHAMN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14816-2025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45743</v>
      </c>
      <c r="E228" s="1" t="n">
        <v>46222</v>
      </c>
      <c r="F228" t="inlineStr">
        <is>
          <t>BLEKINGE LÄN</t>
        </is>
      </c>
      <c r="G228" t="inlineStr">
        <is>
          <t>KARLSHAMN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38515-2025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45884</v>
      </c>
      <c r="E229" s="1" t="n">
        <v>46222</v>
      </c>
      <c r="F229" t="inlineStr">
        <is>
          <t>BLEKINGE LÄN</t>
        </is>
      </c>
      <c r="G229" t="inlineStr">
        <is>
          <t>KARLSHAMN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20285-2023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45056</v>
      </c>
      <c r="E230" s="1" t="n">
        <v>46222</v>
      </c>
      <c r="F230" t="inlineStr">
        <is>
          <t>BLEKINGE LÄN</t>
        </is>
      </c>
      <c r="G230" t="inlineStr">
        <is>
          <t>KARLSHAMN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56512-2025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45975</v>
      </c>
      <c r="E231" s="1" t="n">
        <v>46222</v>
      </c>
      <c r="F231" t="inlineStr">
        <is>
          <t>BLEKINGE LÄN</t>
        </is>
      </c>
      <c r="G231" t="inlineStr">
        <is>
          <t>KARLSHAMN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44951-2025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45918</v>
      </c>
      <c r="E232" s="1" t="n">
        <v>46222</v>
      </c>
      <c r="F232" t="inlineStr">
        <is>
          <t>BLEKINGE LÄN</t>
        </is>
      </c>
      <c r="G232" t="inlineStr">
        <is>
          <t>KARLSHAMN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38518-2025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45884</v>
      </c>
      <c r="E233" s="1" t="n">
        <v>46222</v>
      </c>
      <c r="F233" t="inlineStr">
        <is>
          <t>BLEKINGE LÄN</t>
        </is>
      </c>
      <c r="G233" t="inlineStr">
        <is>
          <t>KARLSHAMN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34673-2025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45848</v>
      </c>
      <c r="E234" s="1" t="n">
        <v>46222</v>
      </c>
      <c r="F234" t="inlineStr">
        <is>
          <t>BLEKINGE LÄN</t>
        </is>
      </c>
      <c r="G234" t="inlineStr">
        <is>
          <t>KARLSHAMN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9906-2025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45717</v>
      </c>
      <c r="E235" s="1" t="n">
        <v>46222</v>
      </c>
      <c r="F235" t="inlineStr">
        <is>
          <t>BLEKINGE LÄN</t>
        </is>
      </c>
      <c r="G235" t="inlineStr">
        <is>
          <t>KARLSHAMN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45052-2025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45919</v>
      </c>
      <c r="E236" s="1" t="n">
        <v>46222</v>
      </c>
      <c r="F236" t="inlineStr">
        <is>
          <t>BLEKINGE LÄN</t>
        </is>
      </c>
      <c r="G236" t="inlineStr">
        <is>
          <t>KARLSHAMN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9775-2025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45716</v>
      </c>
      <c r="E237" s="1" t="n">
        <v>46222</v>
      </c>
      <c r="F237" t="inlineStr">
        <is>
          <t>BLEKINGE LÄN</t>
        </is>
      </c>
      <c r="G237" t="inlineStr">
        <is>
          <t>KARLSHAMN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1036-2022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44571</v>
      </c>
      <c r="E238" s="1" t="n">
        <v>46222</v>
      </c>
      <c r="F238" t="inlineStr">
        <is>
          <t>BLEKINGE LÄN</t>
        </is>
      </c>
      <c r="G238" t="inlineStr">
        <is>
          <t>KARLSHAMN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57936-2024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45631</v>
      </c>
      <c r="E239" s="1" t="n">
        <v>46222</v>
      </c>
      <c r="F239" t="inlineStr">
        <is>
          <t>BLEKINGE LÄN</t>
        </is>
      </c>
      <c r="G239" t="inlineStr">
        <is>
          <t>KARLSHAMN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36270-2023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45151</v>
      </c>
      <c r="E240" s="1" t="n">
        <v>46222</v>
      </c>
      <c r="F240" t="inlineStr">
        <is>
          <t>BLEKINGE LÄN</t>
        </is>
      </c>
      <c r="G240" t="inlineStr">
        <is>
          <t>KARLSHAMN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58986-2024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46222</v>
      </c>
      <c r="F241" t="inlineStr">
        <is>
          <t>BLEKINGE LÄN</t>
        </is>
      </c>
      <c r="G241" t="inlineStr">
        <is>
          <t>KARLSHAMN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39901-2024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45553</v>
      </c>
      <c r="E242" s="1" t="n">
        <v>46222</v>
      </c>
      <c r="F242" t="inlineStr">
        <is>
          <t>BLEKINGE LÄN</t>
        </is>
      </c>
      <c r="G242" t="inlineStr">
        <is>
          <t>KARLSHAMN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47791-2024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45588</v>
      </c>
      <c r="E243" s="1" t="n">
        <v>46222</v>
      </c>
      <c r="F243" t="inlineStr">
        <is>
          <t>BLEKINGE LÄN</t>
        </is>
      </c>
      <c r="G243" t="inlineStr">
        <is>
          <t>KARLSHAMN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10692-2022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44624</v>
      </c>
      <c r="E244" s="1" t="n">
        <v>46222</v>
      </c>
      <c r="F244" t="inlineStr">
        <is>
          <t>BLEKINGE LÄN</t>
        </is>
      </c>
      <c r="G244" t="inlineStr">
        <is>
          <t>KARLSHAMN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18517-2022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44686</v>
      </c>
      <c r="E245" s="1" t="n">
        <v>46222</v>
      </c>
      <c r="F245" t="inlineStr">
        <is>
          <t>BLEKINGE LÄN</t>
        </is>
      </c>
      <c r="G245" t="inlineStr">
        <is>
          <t>KARLSHAMN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22814-2025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45789</v>
      </c>
      <c r="E246" s="1" t="n">
        <v>46222</v>
      </c>
      <c r="F246" t="inlineStr">
        <is>
          <t>BLEKINGE LÄN</t>
        </is>
      </c>
      <c r="G246" t="inlineStr">
        <is>
          <t>KARLSHAMN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38793-2022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44816</v>
      </c>
      <c r="E247" s="1" t="n">
        <v>46222</v>
      </c>
      <c r="F247" t="inlineStr">
        <is>
          <t>BLEKINGE LÄN</t>
        </is>
      </c>
      <c r="G247" t="inlineStr">
        <is>
          <t>KARLSHAMN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29971-2023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45108</v>
      </c>
      <c r="E248" s="1" t="n">
        <v>46222</v>
      </c>
      <c r="F248" t="inlineStr">
        <is>
          <t>BLEKINGE LÄN</t>
        </is>
      </c>
      <c r="G248" t="inlineStr">
        <is>
          <t>KARLSHAMN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31289-2023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45114</v>
      </c>
      <c r="E249" s="1" t="n">
        <v>46222</v>
      </c>
      <c r="F249" t="inlineStr">
        <is>
          <t>BLEKINGE LÄN</t>
        </is>
      </c>
      <c r="G249" t="inlineStr">
        <is>
          <t>KARLSHAMN</t>
        </is>
      </c>
      <c r="I249" t="n">
        <v>6.4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51370-2023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45219</v>
      </c>
      <c r="E250" s="1" t="n">
        <v>46222</v>
      </c>
      <c r="F250" t="inlineStr">
        <is>
          <t>BLEKINGE LÄN</t>
        </is>
      </c>
      <c r="G250" t="inlineStr">
        <is>
          <t>KARLSHAMN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48843-2025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46222</v>
      </c>
      <c r="F251" t="inlineStr">
        <is>
          <t>BLEKINGE LÄN</t>
        </is>
      </c>
      <c r="G251" t="inlineStr">
        <is>
          <t>KARLSHAMN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26115-2026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46181</v>
      </c>
      <c r="E252" s="1" t="n">
        <v>46222</v>
      </c>
      <c r="F252" t="inlineStr">
        <is>
          <t>BLEKINGE LÄN</t>
        </is>
      </c>
      <c r="G252" t="inlineStr">
        <is>
          <t>KARLSHAMN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682-2022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44568</v>
      </c>
      <c r="E253" s="1" t="n">
        <v>46222</v>
      </c>
      <c r="F253" t="inlineStr">
        <is>
          <t>BLEKINGE LÄN</t>
        </is>
      </c>
      <c r="G253" t="inlineStr">
        <is>
          <t>KARLSHAMN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35832-2023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45148</v>
      </c>
      <c r="E254" s="1" t="n">
        <v>46222</v>
      </c>
      <c r="F254" t="inlineStr">
        <is>
          <t>BLEKINGE LÄN</t>
        </is>
      </c>
      <c r="G254" t="inlineStr">
        <is>
          <t>KARLSHAMN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33633-2023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45119</v>
      </c>
      <c r="E255" s="1" t="n">
        <v>46222</v>
      </c>
      <c r="F255" t="inlineStr">
        <is>
          <t>BLEKINGE LÄN</t>
        </is>
      </c>
      <c r="G255" t="inlineStr">
        <is>
          <t>KARLSHAMN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26087-2026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46181</v>
      </c>
      <c r="E256" s="1" t="n">
        <v>46222</v>
      </c>
      <c r="F256" t="inlineStr">
        <is>
          <t>BLEKINGE LÄN</t>
        </is>
      </c>
      <c r="G256" t="inlineStr">
        <is>
          <t>KARLSHAMN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25988-2026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46181</v>
      </c>
      <c r="E257" s="1" t="n">
        <v>46222</v>
      </c>
      <c r="F257" t="inlineStr">
        <is>
          <t>BLEKINGE LÄN</t>
        </is>
      </c>
      <c r="G257" t="inlineStr">
        <is>
          <t>KARLSHAMN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41310-2025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46222</v>
      </c>
      <c r="F258" t="inlineStr">
        <is>
          <t>BLEKINGE LÄN</t>
        </is>
      </c>
      <c r="G258" t="inlineStr">
        <is>
          <t>KARLSHAMN</t>
        </is>
      </c>
      <c r="H258" t="inlineStr">
        <is>
          <t>Sveaskog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21543-2025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45782</v>
      </c>
      <c r="E259" s="1" t="n">
        <v>46222</v>
      </c>
      <c r="F259" t="inlineStr">
        <is>
          <t>BLEKINGE LÄN</t>
        </is>
      </c>
      <c r="G259" t="inlineStr">
        <is>
          <t>KARLSHAMN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30302-2022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44760</v>
      </c>
      <c r="E260" s="1" t="n">
        <v>46222</v>
      </c>
      <c r="F260" t="inlineStr">
        <is>
          <t>BLEKINGE LÄN</t>
        </is>
      </c>
      <c r="G260" t="inlineStr">
        <is>
          <t>KARLSHAMN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1870-2024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45307</v>
      </c>
      <c r="E261" s="1" t="n">
        <v>46222</v>
      </c>
      <c r="F261" t="inlineStr">
        <is>
          <t>BLEKINGE LÄN</t>
        </is>
      </c>
      <c r="G261" t="inlineStr">
        <is>
          <t>KARLSHAMN</t>
        </is>
      </c>
      <c r="I261" t="n">
        <v>16.6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17649-2022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44680</v>
      </c>
      <c r="E262" s="1" t="n">
        <v>46222</v>
      </c>
      <c r="F262" t="inlineStr">
        <is>
          <t>BLEKINGE LÄN</t>
        </is>
      </c>
      <c r="G262" t="inlineStr">
        <is>
          <t>KARLSHAMN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16674-2025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45754</v>
      </c>
      <c r="E263" s="1" t="n">
        <v>46222</v>
      </c>
      <c r="F263" t="inlineStr">
        <is>
          <t>BLEKINGE LÄN</t>
        </is>
      </c>
      <c r="G263" t="inlineStr">
        <is>
          <t>KARLSHAMN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26274-2024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45468</v>
      </c>
      <c r="E264" s="1" t="n">
        <v>46222</v>
      </c>
      <c r="F264" t="inlineStr">
        <is>
          <t>BLEKINGE LÄN</t>
        </is>
      </c>
      <c r="G264" t="inlineStr">
        <is>
          <t>KARLSHAMN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44487-2023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46222</v>
      </c>
      <c r="F265" t="inlineStr">
        <is>
          <t>BLEKINGE LÄN</t>
        </is>
      </c>
      <c r="G265" t="inlineStr">
        <is>
          <t>KARLSHAMN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53118-2024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45611</v>
      </c>
      <c r="E266" s="1" t="n">
        <v>46222</v>
      </c>
      <c r="F266" t="inlineStr">
        <is>
          <t>BLEKINGE LÄN</t>
        </is>
      </c>
      <c r="G266" t="inlineStr">
        <is>
          <t>KARLSHAMN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21030-2024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45439</v>
      </c>
      <c r="E267" s="1" t="n">
        <v>46222</v>
      </c>
      <c r="F267" t="inlineStr">
        <is>
          <t>BLEKINGE LÄN</t>
        </is>
      </c>
      <c r="G267" t="inlineStr">
        <is>
          <t>KARLSHAMN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57559-2023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45243</v>
      </c>
      <c r="E268" s="1" t="n">
        <v>46222</v>
      </c>
      <c r="F268" t="inlineStr">
        <is>
          <t>BLEKINGE LÄN</t>
        </is>
      </c>
      <c r="G268" t="inlineStr">
        <is>
          <t>KARLSHAMN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46051</v>
      </c>
      <c r="E269" s="1" t="n">
        <v>46222</v>
      </c>
      <c r="F269" t="inlineStr">
        <is>
          <t>BLEKINGE LÄN</t>
        </is>
      </c>
      <c r="G269" t="inlineStr">
        <is>
          <t>KARLSHAMN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52637-2023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46222</v>
      </c>
      <c r="F270" t="inlineStr">
        <is>
          <t>BLEKINGE LÄN</t>
        </is>
      </c>
      <c r="G270" t="inlineStr">
        <is>
          <t>KARLSHAMN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45206-2022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44844</v>
      </c>
      <c r="E271" s="1" t="n">
        <v>46222</v>
      </c>
      <c r="F271" t="inlineStr">
        <is>
          <t>BLEKINGE LÄN</t>
        </is>
      </c>
      <c r="G271" t="inlineStr">
        <is>
          <t>KARLSHAMN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27712-2026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46222</v>
      </c>
      <c r="F272" t="inlineStr">
        <is>
          <t>BLEKINGE LÄN</t>
        </is>
      </c>
      <c r="G272" t="inlineStr">
        <is>
          <t>KARLSHAMN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2369-2024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45310</v>
      </c>
      <c r="E273" s="1" t="n">
        <v>46222</v>
      </c>
      <c r="F273" t="inlineStr">
        <is>
          <t>BLEKINGE LÄN</t>
        </is>
      </c>
      <c r="G273" t="inlineStr">
        <is>
          <t>KARLSHAMN</t>
        </is>
      </c>
      <c r="H273" t="inlineStr">
        <is>
          <t>Kommuner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31130-2024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45502</v>
      </c>
      <c r="E274" s="1" t="n">
        <v>46222</v>
      </c>
      <c r="F274" t="inlineStr">
        <is>
          <t>BLEKINGE LÄN</t>
        </is>
      </c>
      <c r="G274" t="inlineStr">
        <is>
          <t>KARLSHAMN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21586-2026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46149</v>
      </c>
      <c r="E275" s="1" t="n">
        <v>46222</v>
      </c>
      <c r="F275" t="inlineStr">
        <is>
          <t>BLEKINGE LÄN</t>
        </is>
      </c>
      <c r="G275" t="inlineStr">
        <is>
          <t>KARLSHAMN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38292-2022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44812</v>
      </c>
      <c r="E276" s="1" t="n">
        <v>46222</v>
      </c>
      <c r="F276" t="inlineStr">
        <is>
          <t>BLEKINGE LÄN</t>
        </is>
      </c>
      <c r="G276" t="inlineStr">
        <is>
          <t>KARLSHAMN</t>
        </is>
      </c>
      <c r="I276" t="n">
        <v>14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61956-2023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45266</v>
      </c>
      <c r="E277" s="1" t="n">
        <v>46222</v>
      </c>
      <c r="F277" t="inlineStr">
        <is>
          <t>BLEKINGE LÄN</t>
        </is>
      </c>
      <c r="G277" t="inlineStr">
        <is>
          <t>KARLSHAMN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52632-2023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45225</v>
      </c>
      <c r="E278" s="1" t="n">
        <v>46222</v>
      </c>
      <c r="F278" t="inlineStr">
        <is>
          <t>BLEKINGE LÄN</t>
        </is>
      </c>
      <c r="G278" t="inlineStr">
        <is>
          <t>KARLSHAMN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27754-2026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46191</v>
      </c>
      <c r="E279" s="1" t="n">
        <v>46222</v>
      </c>
      <c r="F279" t="inlineStr">
        <is>
          <t>BLEKINGE LÄN</t>
        </is>
      </c>
      <c r="G279" t="inlineStr">
        <is>
          <t>KARLSHAMN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31394-2023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45104</v>
      </c>
      <c r="E280" s="1" t="n">
        <v>46222</v>
      </c>
      <c r="F280" t="inlineStr">
        <is>
          <t>BLEKINGE LÄN</t>
        </is>
      </c>
      <c r="G280" t="inlineStr">
        <is>
          <t>KARLSHAMN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42401-2024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45565</v>
      </c>
      <c r="E281" s="1" t="n">
        <v>46222</v>
      </c>
      <c r="F281" t="inlineStr">
        <is>
          <t>BLEKINGE LÄN</t>
        </is>
      </c>
      <c r="G281" t="inlineStr">
        <is>
          <t>KARLSHAMN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64195-2023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45279</v>
      </c>
      <c r="E282" s="1" t="n">
        <v>46222</v>
      </c>
      <c r="F282" t="inlineStr">
        <is>
          <t>BLEKINGE LÄN</t>
        </is>
      </c>
      <c r="G282" t="inlineStr">
        <is>
          <t>KARLSHAMN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28320-2026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46196</v>
      </c>
      <c r="E283" s="1" t="n">
        <v>46222</v>
      </c>
      <c r="F283" t="inlineStr">
        <is>
          <t>BLEKINGE LÄN</t>
        </is>
      </c>
      <c r="G283" t="inlineStr">
        <is>
          <t>KARLSHAMN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68958-2021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46222</v>
      </c>
      <c r="F284" t="inlineStr">
        <is>
          <t>BLEKINGE LÄN</t>
        </is>
      </c>
      <c r="G284" t="inlineStr">
        <is>
          <t>KARLSHAMN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34423-2025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45846</v>
      </c>
      <c r="E285" s="1" t="n">
        <v>46222</v>
      </c>
      <c r="F285" t="inlineStr">
        <is>
          <t>BLEKINGE LÄN</t>
        </is>
      </c>
      <c r="G285" t="inlineStr">
        <is>
          <t>KARLSHAMN</t>
        </is>
      </c>
      <c r="I285" t="n">
        <v>8.300000000000001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35081-2022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44797</v>
      </c>
      <c r="E286" s="1" t="n">
        <v>46222</v>
      </c>
      <c r="F286" t="inlineStr">
        <is>
          <t>BLEKINGE LÄN</t>
        </is>
      </c>
      <c r="G286" t="inlineStr">
        <is>
          <t>KARLSHAMN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19660-2025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45770</v>
      </c>
      <c r="E287" s="1" t="n">
        <v>46222</v>
      </c>
      <c r="F287" t="inlineStr">
        <is>
          <t>BLEKINGE LÄN</t>
        </is>
      </c>
      <c r="G287" t="inlineStr">
        <is>
          <t>KARLSHAMN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29246-2026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46202</v>
      </c>
      <c r="E288" s="1" t="n">
        <v>46222</v>
      </c>
      <c r="F288" t="inlineStr">
        <is>
          <t>BLEKINGE LÄN</t>
        </is>
      </c>
      <c r="G288" t="inlineStr">
        <is>
          <t>KARLSHAMN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29248-2026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46202</v>
      </c>
      <c r="E289" s="1" t="n">
        <v>46222</v>
      </c>
      <c r="F289" t="inlineStr">
        <is>
          <t>BLEKINGE LÄN</t>
        </is>
      </c>
      <c r="G289" t="inlineStr">
        <is>
          <t>KARLSHAMN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51552-2021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44462</v>
      </c>
      <c r="E290" s="1" t="n">
        <v>46222</v>
      </c>
      <c r="F290" t="inlineStr">
        <is>
          <t>BLEKINGE LÄN</t>
        </is>
      </c>
      <c r="G290" t="inlineStr">
        <is>
          <t>KARLSHAMN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9605-2023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44983</v>
      </c>
      <c r="E291" s="1" t="n">
        <v>46222</v>
      </c>
      <c r="F291" t="inlineStr">
        <is>
          <t>BLEKINGE LÄN</t>
        </is>
      </c>
      <c r="G291" t="inlineStr">
        <is>
          <t>KARLSHAMN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26041-2023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45091</v>
      </c>
      <c r="E292" s="1" t="n">
        <v>46222</v>
      </c>
      <c r="F292" t="inlineStr">
        <is>
          <t>BLEKINGE LÄN</t>
        </is>
      </c>
      <c r="G292" t="inlineStr">
        <is>
          <t>KARLSHAMN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23055-2026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46161</v>
      </c>
      <c r="E293" s="1" t="n">
        <v>46222</v>
      </c>
      <c r="F293" t="inlineStr">
        <is>
          <t>BLEKINGE LÄN</t>
        </is>
      </c>
      <c r="G293" t="inlineStr">
        <is>
          <t>KARLSHAMN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5172-2024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45330</v>
      </c>
      <c r="E294" s="1" t="n">
        <v>46222</v>
      </c>
      <c r="F294" t="inlineStr">
        <is>
          <t>BLEKINGE LÄN</t>
        </is>
      </c>
      <c r="G294" t="inlineStr">
        <is>
          <t>KARLSHAMN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24880-2022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44728</v>
      </c>
      <c r="E295" s="1" t="n">
        <v>46222</v>
      </c>
      <c r="F295" t="inlineStr">
        <is>
          <t>BLEKINGE LÄN</t>
        </is>
      </c>
      <c r="G295" t="inlineStr">
        <is>
          <t>KARLSHAMN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31038-2024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45501</v>
      </c>
      <c r="E296" s="1" t="n">
        <v>46222</v>
      </c>
      <c r="F296" t="inlineStr">
        <is>
          <t>BLEKINGE LÄN</t>
        </is>
      </c>
      <c r="G296" t="inlineStr">
        <is>
          <t>KARLSHAMN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62590-2023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45270</v>
      </c>
      <c r="E297" s="1" t="n">
        <v>46222</v>
      </c>
      <c r="F297" t="inlineStr">
        <is>
          <t>BLEKINGE LÄN</t>
        </is>
      </c>
      <c r="G297" t="inlineStr">
        <is>
          <t>KARLSHAMN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29443-2023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45106</v>
      </c>
      <c r="E298" s="1" t="n">
        <v>46222</v>
      </c>
      <c r="F298" t="inlineStr">
        <is>
          <t>BLEKINGE LÄN</t>
        </is>
      </c>
      <c r="G298" t="inlineStr">
        <is>
          <t>KARLSHAMN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51960-2024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45607</v>
      </c>
      <c r="E299" s="1" t="n">
        <v>46222</v>
      </c>
      <c r="F299" t="inlineStr">
        <is>
          <t>BLEKINGE LÄN</t>
        </is>
      </c>
      <c r="G299" t="inlineStr">
        <is>
          <t>KARLSHAMN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7658-2022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44607</v>
      </c>
      <c r="E300" s="1" t="n">
        <v>46222</v>
      </c>
      <c r="F300" t="inlineStr">
        <is>
          <t>BLEKINGE LÄN</t>
        </is>
      </c>
      <c r="G300" t="inlineStr">
        <is>
          <t>KARLSHAMN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23699-2026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46164</v>
      </c>
      <c r="E301" s="1" t="n">
        <v>46222</v>
      </c>
      <c r="F301" t="inlineStr">
        <is>
          <t>BLEKINGE LÄN</t>
        </is>
      </c>
      <c r="G301" t="inlineStr">
        <is>
          <t>KARLSHAMN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23710-2026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46164</v>
      </c>
      <c r="E302" s="1" t="n">
        <v>46222</v>
      </c>
      <c r="F302" t="inlineStr">
        <is>
          <t>BLEKINGE LÄN</t>
        </is>
      </c>
      <c r="G302" t="inlineStr">
        <is>
          <t>KARLSHAMN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27408-2022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44742</v>
      </c>
      <c r="E303" s="1" t="n">
        <v>46222</v>
      </c>
      <c r="F303" t="inlineStr">
        <is>
          <t>BLEKINGE LÄN</t>
        </is>
      </c>
      <c r="G303" t="inlineStr">
        <is>
          <t>KARLSHAMN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4366-2026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46222</v>
      </c>
      <c r="F304" t="inlineStr">
        <is>
          <t>BLEKINGE LÄN</t>
        </is>
      </c>
      <c r="G304" t="inlineStr">
        <is>
          <t>KARLSHAMN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31266-2023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45114</v>
      </c>
      <c r="E305" s="1" t="n">
        <v>46222</v>
      </c>
      <c r="F305" t="inlineStr">
        <is>
          <t>BLEKINGE LÄN</t>
        </is>
      </c>
      <c r="G305" t="inlineStr">
        <is>
          <t>KARLSHAMN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4359-2026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46045</v>
      </c>
      <c r="E306" s="1" t="n">
        <v>46222</v>
      </c>
      <c r="F306" t="inlineStr">
        <is>
          <t>BLEKINGE LÄN</t>
        </is>
      </c>
      <c r="G306" t="inlineStr">
        <is>
          <t>KARLSHAMN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687-2022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46222</v>
      </c>
      <c r="F307" t="inlineStr">
        <is>
          <t>BLEKINGE LÄN</t>
        </is>
      </c>
      <c r="G307" t="inlineStr">
        <is>
          <t>KARLSHAMN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51169-2025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45947</v>
      </c>
      <c r="E308" s="1" t="n">
        <v>46222</v>
      </c>
      <c r="F308" t="inlineStr">
        <is>
          <t>BLEKINGE LÄN</t>
        </is>
      </c>
      <c r="G308" t="inlineStr">
        <is>
          <t>KARLSHAMN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31288-2023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45114</v>
      </c>
      <c r="E309" s="1" t="n">
        <v>46222</v>
      </c>
      <c r="F309" t="inlineStr">
        <is>
          <t>BLEKINGE LÄN</t>
        </is>
      </c>
      <c r="G309" t="inlineStr">
        <is>
          <t>KARLSHAMN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38721-2023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45163</v>
      </c>
      <c r="E310" s="1" t="n">
        <v>46222</v>
      </c>
      <c r="F310" t="inlineStr">
        <is>
          <t>BLEKINGE LÄN</t>
        </is>
      </c>
      <c r="G310" t="inlineStr">
        <is>
          <t>KARLSHAMN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17394-2025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45757</v>
      </c>
      <c r="E311" s="1" t="n">
        <v>46222</v>
      </c>
      <c r="F311" t="inlineStr">
        <is>
          <t>BLEKINGE LÄN</t>
        </is>
      </c>
      <c r="G311" t="inlineStr">
        <is>
          <t>KARLSHAMN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23715-2026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46222</v>
      </c>
      <c r="F312" t="inlineStr">
        <is>
          <t>BLEKINGE LÄN</t>
        </is>
      </c>
      <c r="G312" t="inlineStr">
        <is>
          <t>KARLSHAMN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23698-2026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46222</v>
      </c>
      <c r="F313" t="inlineStr">
        <is>
          <t>BLEKINGE LÄN</t>
        </is>
      </c>
      <c r="G313" t="inlineStr">
        <is>
          <t>KARLSHAMN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16897-2023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45028</v>
      </c>
      <c r="E314" s="1" t="n">
        <v>46222</v>
      </c>
      <c r="F314" t="inlineStr">
        <is>
          <t>BLEKINGE LÄN</t>
        </is>
      </c>
      <c r="G314" t="inlineStr">
        <is>
          <t>KARLSHAMN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15208-2025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45744</v>
      </c>
      <c r="E315" s="1" t="n">
        <v>46222</v>
      </c>
      <c r="F315" t="inlineStr">
        <is>
          <t>BLEKINGE LÄN</t>
        </is>
      </c>
      <c r="G315" t="inlineStr">
        <is>
          <t>KARLSHAMN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11825-2024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45376</v>
      </c>
      <c r="E316" s="1" t="n">
        <v>46222</v>
      </c>
      <c r="F316" t="inlineStr">
        <is>
          <t>BLEKINGE LÄN</t>
        </is>
      </c>
      <c r="G316" t="inlineStr">
        <is>
          <t>KARLSHAMN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13879-2023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45007</v>
      </c>
      <c r="E317" s="1" t="n">
        <v>46222</v>
      </c>
      <c r="F317" t="inlineStr">
        <is>
          <t>BLEKINGE LÄN</t>
        </is>
      </c>
      <c r="G317" t="inlineStr">
        <is>
          <t>KARLSHAMN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25011-2024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45461</v>
      </c>
      <c r="E318" s="1" t="n">
        <v>46222</v>
      </c>
      <c r="F318" t="inlineStr">
        <is>
          <t>BLEKINGE LÄN</t>
        </is>
      </c>
      <c r="G318" t="inlineStr">
        <is>
          <t>KARLSHAMN</t>
        </is>
      </c>
      <c r="H318" t="inlineStr">
        <is>
          <t>Övriga Aktiebolag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24531-2026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46170</v>
      </c>
      <c r="E319" s="1" t="n">
        <v>46222</v>
      </c>
      <c r="F319" t="inlineStr">
        <is>
          <t>BLEKINGE LÄN</t>
        </is>
      </c>
      <c r="G319" t="inlineStr">
        <is>
          <t>KARLSHAMN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24603-2026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46222</v>
      </c>
      <c r="F320" t="inlineStr">
        <is>
          <t>BLEKINGE LÄN</t>
        </is>
      </c>
      <c r="G320" t="inlineStr">
        <is>
          <t>KARLSHAMN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2206-2024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45309</v>
      </c>
      <c r="E321" s="1" t="n">
        <v>46222</v>
      </c>
      <c r="F321" t="inlineStr">
        <is>
          <t>BLEKINGE LÄN</t>
        </is>
      </c>
      <c r="G321" t="inlineStr">
        <is>
          <t>KARLSHAMN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24472-2026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46222</v>
      </c>
      <c r="F322" t="inlineStr">
        <is>
          <t>BLEKINGE LÄN</t>
        </is>
      </c>
      <c r="G322" t="inlineStr">
        <is>
          <t>KARLSHAMN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24487-2026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46222</v>
      </c>
      <c r="F323" t="inlineStr">
        <is>
          <t>BLEKINGE LÄN</t>
        </is>
      </c>
      <c r="G323" t="inlineStr">
        <is>
          <t>KARLSHAMN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67970-2021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44525</v>
      </c>
      <c r="E324" s="1" t="n">
        <v>46222</v>
      </c>
      <c r="F324" t="inlineStr">
        <is>
          <t>BLEKINGE LÄN</t>
        </is>
      </c>
      <c r="G324" t="inlineStr">
        <is>
          <t>KARLSHAMN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24604-2026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46222</v>
      </c>
      <c r="F325" t="inlineStr">
        <is>
          <t>BLEKINGE LÄN</t>
        </is>
      </c>
      <c r="G325" t="inlineStr">
        <is>
          <t>KARLSHAMN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21024-2024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45439</v>
      </c>
      <c r="E326" s="1" t="n">
        <v>46222</v>
      </c>
      <c r="F326" t="inlineStr">
        <is>
          <t>BLEKINGE LÄN</t>
        </is>
      </c>
      <c r="G326" t="inlineStr">
        <is>
          <t>KARLSHAMN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54591-2024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45617</v>
      </c>
      <c r="E327" s="1" t="n">
        <v>46222</v>
      </c>
      <c r="F327" t="inlineStr">
        <is>
          <t>BLEKINGE LÄN</t>
        </is>
      </c>
      <c r="G327" t="inlineStr">
        <is>
          <t>KARLSHAMN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61962-2023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45266</v>
      </c>
      <c r="E328" s="1" t="n">
        <v>46222</v>
      </c>
      <c r="F328" t="inlineStr">
        <is>
          <t>BLEKINGE LÄN</t>
        </is>
      </c>
      <c r="G328" t="inlineStr">
        <is>
          <t>KARLSHAMN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24602-2026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46170</v>
      </c>
      <c r="E329" s="1" t="n">
        <v>46222</v>
      </c>
      <c r="F329" t="inlineStr">
        <is>
          <t>BLEKINGE LÄN</t>
        </is>
      </c>
      <c r="G329" t="inlineStr">
        <is>
          <t>KARLSHAMN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55439-2023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45238</v>
      </c>
      <c r="E330" s="1" t="n">
        <v>46222</v>
      </c>
      <c r="F330" t="inlineStr">
        <is>
          <t>BLEKINGE LÄN</t>
        </is>
      </c>
      <c r="G330" t="inlineStr">
        <is>
          <t>KARLSHAMN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50150-2025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45943</v>
      </c>
      <c r="E331" s="1" t="n">
        <v>46222</v>
      </c>
      <c r="F331" t="inlineStr">
        <is>
          <t>BLEKINGE LÄN</t>
        </is>
      </c>
      <c r="G331" t="inlineStr">
        <is>
          <t>KARLSHAMN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50129-2025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45943</v>
      </c>
      <c r="E332" s="1" t="n">
        <v>46222</v>
      </c>
      <c r="F332" t="inlineStr">
        <is>
          <t>BLEKINGE LÄN</t>
        </is>
      </c>
      <c r="G332" t="inlineStr">
        <is>
          <t>KARLSHAMN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21810-2023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45068</v>
      </c>
      <c r="E333" s="1" t="n">
        <v>46222</v>
      </c>
      <c r="F333" t="inlineStr">
        <is>
          <t>BLEKINGE LÄN</t>
        </is>
      </c>
      <c r="G333" t="inlineStr">
        <is>
          <t>KARLSHAMN</t>
        </is>
      </c>
      <c r="H333" t="inlineStr">
        <is>
          <t>Kommuner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69511-2021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44531</v>
      </c>
      <c r="E334" s="1" t="n">
        <v>46222</v>
      </c>
      <c r="F334" t="inlineStr">
        <is>
          <t>BLEKINGE LÄN</t>
        </is>
      </c>
      <c r="G334" t="inlineStr">
        <is>
          <t>KARLSHAMN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69976-2021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44533</v>
      </c>
      <c r="E335" s="1" t="n">
        <v>46222</v>
      </c>
      <c r="F335" t="inlineStr">
        <is>
          <t>BLEKINGE LÄN</t>
        </is>
      </c>
      <c r="G335" t="inlineStr">
        <is>
          <t>KARLSHAMN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43235-2024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45567</v>
      </c>
      <c r="E336" s="1" t="n">
        <v>46222</v>
      </c>
      <c r="F336" t="inlineStr">
        <is>
          <t>BLEKINGE LÄN</t>
        </is>
      </c>
      <c r="G336" t="inlineStr">
        <is>
          <t>KARLSHAMN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50131-2025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45943</v>
      </c>
      <c r="E337" s="1" t="n">
        <v>46222</v>
      </c>
      <c r="F337" t="inlineStr">
        <is>
          <t>BLEKINGE LÄN</t>
        </is>
      </c>
      <c r="G337" t="inlineStr">
        <is>
          <t>KARLSHAMN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25034-2026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46222</v>
      </c>
      <c r="F338" t="inlineStr">
        <is>
          <t>BLEKINGE LÄN</t>
        </is>
      </c>
      <c r="G338" t="inlineStr">
        <is>
          <t>KARLSHAMN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22879-2023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45072</v>
      </c>
      <c r="E339" s="1" t="n">
        <v>46222</v>
      </c>
      <c r="F339" t="inlineStr">
        <is>
          <t>BLEKINGE LÄN</t>
        </is>
      </c>
      <c r="G339" t="inlineStr">
        <is>
          <t>KARLSHAMN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46466-2023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45197</v>
      </c>
      <c r="E340" s="1" t="n">
        <v>46222</v>
      </c>
      <c r="F340" t="inlineStr">
        <is>
          <t>BLEKINGE LÄN</t>
        </is>
      </c>
      <c r="G340" t="inlineStr">
        <is>
          <t>KARLSHAMN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44962</v>
      </c>
      <c r="E341" s="1" t="n">
        <v>46222</v>
      </c>
      <c r="F341" t="inlineStr">
        <is>
          <t>BLEKINGE LÄN</t>
        </is>
      </c>
      <c r="G341" t="inlineStr">
        <is>
          <t>KARLSHAMN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27698-2022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44743</v>
      </c>
      <c r="E342" s="1" t="n">
        <v>46222</v>
      </c>
      <c r="F342" t="inlineStr">
        <is>
          <t>BLEKINGE LÄN</t>
        </is>
      </c>
      <c r="G342" t="inlineStr">
        <is>
          <t>KARLSHAMN</t>
        </is>
      </c>
      <c r="H342" t="inlineStr">
        <is>
          <t>Kommuner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51369-2023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45219</v>
      </c>
      <c r="E343" s="1" t="n">
        <v>46222</v>
      </c>
      <c r="F343" t="inlineStr">
        <is>
          <t>BLEKINGE LÄN</t>
        </is>
      </c>
      <c r="G343" t="inlineStr">
        <is>
          <t>KARLSHAMN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36302-2023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45152</v>
      </c>
      <c r="E344" s="1" t="n">
        <v>46222</v>
      </c>
      <c r="F344" t="inlineStr">
        <is>
          <t>BLEKINGE LÄN</t>
        </is>
      </c>
      <c r="G344" t="inlineStr">
        <is>
          <t>KARLSHAMN</t>
        </is>
      </c>
      <c r="I344" t="n">
        <v>8.4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57796-2022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44897</v>
      </c>
      <c r="E345" s="1" t="n">
        <v>46222</v>
      </c>
      <c r="F345" t="inlineStr">
        <is>
          <t>BLEKINGE LÄN</t>
        </is>
      </c>
      <c r="G345" t="inlineStr">
        <is>
          <t>KARLSHAMN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33552-2023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45118</v>
      </c>
      <c r="E346" s="1" t="n">
        <v>46222</v>
      </c>
      <c r="F346" t="inlineStr">
        <is>
          <t>BLEKINGE LÄN</t>
        </is>
      </c>
      <c r="G346" t="inlineStr">
        <is>
          <t>KARLSHAMN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62377-2022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44923</v>
      </c>
      <c r="E347" s="1" t="n">
        <v>46222</v>
      </c>
      <c r="F347" t="inlineStr">
        <is>
          <t>BLEKINGE LÄN</t>
        </is>
      </c>
      <c r="G347" t="inlineStr">
        <is>
          <t>KARLSHAMN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33563-2024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45519</v>
      </c>
      <c r="E348" s="1" t="n">
        <v>46222</v>
      </c>
      <c r="F348" t="inlineStr">
        <is>
          <t>BLEKINGE LÄN</t>
        </is>
      </c>
      <c r="G348" t="inlineStr">
        <is>
          <t>KARLSHAMN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10245-2022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44622</v>
      </c>
      <c r="E349" s="1" t="n">
        <v>46222</v>
      </c>
      <c r="F349" t="inlineStr">
        <is>
          <t>BLEKINGE LÄN</t>
        </is>
      </c>
      <c r="G349" t="inlineStr">
        <is>
          <t>KARLSHAMN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17073-2024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45412</v>
      </c>
      <c r="E350" s="1" t="n">
        <v>46222</v>
      </c>
      <c r="F350" t="inlineStr">
        <is>
          <t>BLEKINGE LÄN</t>
        </is>
      </c>
      <c r="G350" t="inlineStr">
        <is>
          <t>KARLSHAMN</t>
        </is>
      </c>
      <c r="H350" t="inlineStr">
        <is>
          <t>Kyrkan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21399-2025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45782</v>
      </c>
      <c r="E351" s="1" t="n">
        <v>46222</v>
      </c>
      <c r="F351" t="inlineStr">
        <is>
          <t>BLEKINGE LÄN</t>
        </is>
      </c>
      <c r="G351" t="inlineStr">
        <is>
          <t>KARLSHAMN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56669-2023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46222</v>
      </c>
      <c r="F352" t="inlineStr">
        <is>
          <t>BLEKINGE LÄN</t>
        </is>
      </c>
      <c r="G352" t="inlineStr">
        <is>
          <t>KARLSHAMN</t>
        </is>
      </c>
      <c r="I352" t="n">
        <v>11.4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7982-2022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44609</v>
      </c>
      <c r="E353" s="1" t="n">
        <v>46222</v>
      </c>
      <c r="F353" t="inlineStr">
        <is>
          <t>BLEKINGE LÄN</t>
        </is>
      </c>
      <c r="G353" t="inlineStr">
        <is>
          <t>KARLSHAMN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24051-2025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45796</v>
      </c>
      <c r="E354" s="1" t="n">
        <v>46222</v>
      </c>
      <c r="F354" t="inlineStr">
        <is>
          <t>BLEKINGE LÄN</t>
        </is>
      </c>
      <c r="G354" t="inlineStr">
        <is>
          <t>KARLSHAMN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50254-2024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45600</v>
      </c>
      <c r="E355" s="1" t="n">
        <v>46222</v>
      </c>
      <c r="F355" t="inlineStr">
        <is>
          <t>BLEKINGE LÄN</t>
        </is>
      </c>
      <c r="G355" t="inlineStr">
        <is>
          <t>KARLSHAMN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31389-2023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45104</v>
      </c>
      <c r="E356" s="1" t="n">
        <v>46222</v>
      </c>
      <c r="F356" t="inlineStr">
        <is>
          <t>BLEKINGE LÄN</t>
        </is>
      </c>
      <c r="G356" t="inlineStr">
        <is>
          <t>KARLSHAMN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155-2021</t>
        </is>
      </c>
      <c r="B357" t="inlineStr">
        <is>
          <t>samrådsanmälan</t>
        </is>
      </c>
      <c r="C357" t="inlineStr">
        <is>
          <t>Åtgärd i nyckelbiotop</t>
        </is>
      </c>
      <c r="D357" s="1" t="n">
        <v>44230</v>
      </c>
      <c r="E357" s="1" t="n">
        <v>46222</v>
      </c>
      <c r="F357" t="inlineStr">
        <is>
          <t>BLEKINGE LÄN</t>
        </is>
      </c>
      <c r="G357" t="inlineStr">
        <is>
          <t>KARLSHAMN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1219-2022</t>
        </is>
      </c>
      <c r="B358" t="inlineStr">
        <is>
          <t>samrådsanmälan</t>
        </is>
      </c>
      <c r="C358" t="inlineStr">
        <is>
          <t>Skogsbilväg</t>
        </is>
      </c>
      <c r="D358" s="1" t="n">
        <v>44621</v>
      </c>
      <c r="E358" s="1" t="n">
        <v>46222</v>
      </c>
      <c r="F358" t="inlineStr">
        <is>
          <t>BLEKINGE LÄN</t>
        </is>
      </c>
      <c r="G358" t="inlineStr">
        <is>
          <t>KARLSHAMN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S 2200-2024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46222</v>
      </c>
      <c r="F359" t="inlineStr">
        <is>
          <t>BLEKINGE LÄN</t>
        </is>
      </c>
      <c r="G359" t="inlineStr">
        <is>
          <t>KARLSHAMN</t>
        </is>
      </c>
      <c r="I359" t="n">
        <v>13.5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S 384-2023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46222</v>
      </c>
      <c r="F360" t="inlineStr">
        <is>
          <t>BLEKINGE LÄN</t>
        </is>
      </c>
      <c r="G360" t="inlineStr">
        <is>
          <t>KARLSHAMN</t>
        </is>
      </c>
      <c r="I360" t="n">
        <v>30.3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S 2201-2024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45457</v>
      </c>
      <c r="E361" s="1" t="n">
        <v>46222</v>
      </c>
      <c r="F361" t="inlineStr">
        <is>
          <t>BLEKINGE LÄN</t>
        </is>
      </c>
      <c r="G361" t="inlineStr">
        <is>
          <t>KARLSHAMN</t>
        </is>
      </c>
      <c r="I361" t="n">
        <v>17.1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S 386-2023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46222</v>
      </c>
      <c r="F362" t="inlineStr">
        <is>
          <t>BLEKINGE LÄN</t>
        </is>
      </c>
      <c r="G362" t="inlineStr">
        <is>
          <t>KARLSHAMN</t>
        </is>
      </c>
      <c r="I362" t="n">
        <v>19.3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S 4616-2024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45602</v>
      </c>
      <c r="E363" s="1" t="n">
        <v>46222</v>
      </c>
      <c r="F363" t="inlineStr">
        <is>
          <t>BLEKINGE LÄN</t>
        </is>
      </c>
      <c r="G363" t="inlineStr">
        <is>
          <t>KARLSHAMN</t>
        </is>
      </c>
      <c r="I363" t="n">
        <v>25.2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4134-2024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45575</v>
      </c>
      <c r="E364" s="1" t="n">
        <v>46222</v>
      </c>
      <c r="F364" t="inlineStr">
        <is>
          <t>BLEKINGE LÄN</t>
        </is>
      </c>
      <c r="G364" t="inlineStr">
        <is>
          <t>KARLSHAMN</t>
        </is>
      </c>
      <c r="I364" t="n">
        <v>43.2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311-2023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46222</v>
      </c>
      <c r="F365" t="inlineStr">
        <is>
          <t>BLEKINGE LÄN</t>
        </is>
      </c>
      <c r="G365" t="inlineStr">
        <is>
          <t>KARLSHAMN</t>
        </is>
      </c>
      <c r="I365" t="n">
        <v>16.8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828-2025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45733</v>
      </c>
      <c r="E366" s="1" t="n">
        <v>46222</v>
      </c>
      <c r="F366" t="inlineStr">
        <is>
          <t>BLEKINGE LÄN</t>
        </is>
      </c>
      <c r="G366" t="inlineStr">
        <is>
          <t>KARLSHAMN</t>
        </is>
      </c>
      <c r="I366" t="n">
        <v>53.6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398-2026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46222</v>
      </c>
      <c r="F367" t="inlineStr">
        <is>
          <t>BLEKINGE LÄN</t>
        </is>
      </c>
      <c r="G367" t="inlineStr">
        <is>
          <t>KARLSHAMN</t>
        </is>
      </c>
      <c r="I367" t="n">
        <v>22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400-2026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46222</v>
      </c>
      <c r="F368" t="inlineStr">
        <is>
          <t>BLEKINGE LÄN</t>
        </is>
      </c>
      <c r="G368" t="inlineStr">
        <is>
          <t>KARLSHAMN</t>
        </is>
      </c>
      <c r="I368" t="n">
        <v>13.4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396-2026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46069</v>
      </c>
      <c r="E369" s="1" t="n">
        <v>46222</v>
      </c>
      <c r="F369" t="inlineStr">
        <is>
          <t>BLEKINGE LÄN</t>
        </is>
      </c>
      <c r="G369" t="inlineStr">
        <is>
          <t>KARLSHAMN</t>
        </is>
      </c>
      <c r="I369" t="n">
        <v>20.2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418-2026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46071</v>
      </c>
      <c r="E370" s="1" t="n">
        <v>46222</v>
      </c>
      <c r="F370" t="inlineStr">
        <is>
          <t>BLEKINGE LÄN</t>
        </is>
      </c>
      <c r="G370" t="inlineStr">
        <is>
          <t>KARLSHAMN</t>
        </is>
      </c>
      <c r="I370" t="n">
        <v>10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703-2026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46092</v>
      </c>
      <c r="E371" s="1" t="n">
        <v>46222</v>
      </c>
      <c r="F371" t="inlineStr">
        <is>
          <t>BLEKINGE LÄN</t>
        </is>
      </c>
      <c r="G371" t="inlineStr">
        <is>
          <t>KARLSHAMN</t>
        </is>
      </c>
      <c r="I371" t="n">
        <v>49.7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>
      <c r="A372" t="inlineStr">
        <is>
          <t>S 1012-2026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46121</v>
      </c>
      <c r="E372" s="1" t="n">
        <v>46222</v>
      </c>
      <c r="F372" t="inlineStr">
        <is>
          <t>BLEKINGE LÄN</t>
        </is>
      </c>
      <c r="G372" t="inlineStr">
        <is>
          <t>KARLSHAMN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2026-07-19T01:37:22Z</dcterms:created>
  <dcterms:modified xmlns:dcterms="http://purl.org/dc/terms/" xmlns:xsi="http://www.w3.org/2001/XMLSchema-instance" xsi:type="dcterms:W3CDTF">2026-07-19T01:37:22Z</dcterms:modified>
</cp:coreProperties>
</file>