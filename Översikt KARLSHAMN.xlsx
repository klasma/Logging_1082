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46319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46319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46319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46319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46319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46319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46319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46319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46319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2573-2023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46319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Lömsk flugsvamp</t>
        </is>
      </c>
      <c r="W21">
        <f>HYPERLINK("https://klasma.github.io/Logging_1082/artfynd/A 2573-2023 artfynd.xlsx", "A 2573-2023")</f>
        <v/>
      </c>
      <c r="X21">
        <f>HYPERLINK("https://klasma.github.io/Logging_1082/kartor/A 2573-2023 karta.png", "A 2573-2023")</f>
        <v/>
      </c>
      <c r="Y21">
        <f>HYPERLINK("https://klasma.github.io/Logging_1082/kartor_geotiff/A 2573-2023 georefererad karta.tif", "A 2573-2023")</f>
        <v/>
      </c>
      <c r="AA21">
        <f>HYPERLINK("https://klasma.github.io/Logging_1082/klagomål/A 2573-2023 FSC-klagomål.docx", "A 2573-2023")</f>
        <v/>
      </c>
      <c r="AB21">
        <f>HYPERLINK("https://klasma.github.io/Logging_1082/klagomålsmail/A 2573-2023 FSC-klagomål mail.docx", "A 2573-2023")</f>
        <v/>
      </c>
      <c r="AC21">
        <f>HYPERLINK("https://klasma.github.io/Logging_1082/tillsyn/A 2573-2023 tillsynsbegäran.docx", "A 2573-2023")</f>
        <v/>
      </c>
      <c r="AD21">
        <f>HYPERLINK("https://klasma.github.io/Logging_1082/tillsynsmail/A 2573-2023 tillsynsbegäran mail.docx", "A 2573-2023")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46319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46319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46319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46319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38321-2026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46319</v>
      </c>
      <c r="F26" t="inlineStr">
        <is>
          <t>BLEKINGE LÄN</t>
        </is>
      </c>
      <c r="G26" t="inlineStr">
        <is>
          <t>KARLSHAMN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Grå skärelav</t>
        </is>
      </c>
      <c r="W26">
        <f>HYPERLINK("https://klasma.github.io/Logging_1082/artfynd/A 38321-2026 artfynd.xlsx", "A 38321-2026")</f>
        <v/>
      </c>
      <c r="X26">
        <f>HYPERLINK("https://klasma.github.io/Logging_1082/kartor/A 38321-2026 karta.png", "A 38321-2026")</f>
        <v/>
      </c>
      <c r="Y26">
        <f>HYPERLINK("https://klasma.github.io/Logging_1082/kartor_geotiff/A 38321-2026 georefererad karta.tif", "A 38321-2026")</f>
        <v/>
      </c>
      <c r="AA26">
        <f>HYPERLINK("https://klasma.github.io/Logging_1082/klagomål/A 38321-2026 FSC-klagomål.docx", "A 38321-2026")</f>
        <v/>
      </c>
      <c r="AB26">
        <f>HYPERLINK("https://klasma.github.io/Logging_1082/klagomålsmail/A 38321-2026 FSC-klagomål mail.docx", "A 38321-2026")</f>
        <v/>
      </c>
      <c r="AC26">
        <f>HYPERLINK("https://klasma.github.io/Logging_1082/tillsyn/A 38321-2026 tillsynsbegäran.docx", "A 38321-2026")</f>
        <v/>
      </c>
      <c r="AD26">
        <f>HYPERLINK("https://klasma.github.io/Logging_1082/tillsynsmail/A 38321-2026 tillsynsbegäran mail.docx", "A 38321-2026")</f>
        <v/>
      </c>
    </row>
    <row r="27" ht="15" customHeight="1">
      <c r="A27" t="inlineStr">
        <is>
          <t>A 21811-2023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46319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HYPERLINK("https://klasma.github.io/Logging_1082/artfynd/A 21811-2023 artfynd.xlsx", "A 21811-2023")</f>
        <v/>
      </c>
      <c r="X27">
        <f>HYPERLINK("https://klasma.github.io/Logging_1082/kartor/A 21811-2023 karta.png", "A 21811-2023")</f>
        <v/>
      </c>
      <c r="Y27">
        <f>HYPERLINK("https://klasma.github.io/Logging_1082/kartor_geotiff/A 21811-2023 georefererad karta.tif", "A 21811-2023")</f>
        <v/>
      </c>
      <c r="AA27">
        <f>HYPERLINK("https://klasma.github.io/Logging_1082/klagomål/A 21811-2023 FSC-klagomål.docx", "A 21811-2023")</f>
        <v/>
      </c>
      <c r="AB27">
        <f>HYPERLINK("https://klasma.github.io/Logging_1082/klagomålsmail/A 21811-2023 FSC-klagomål mail.docx", "A 21811-2023")</f>
        <v/>
      </c>
      <c r="AC27">
        <f>HYPERLINK("https://klasma.github.io/Logging_1082/tillsyn/A 21811-2023 tillsynsbegäran.docx", "A 21811-2023")</f>
        <v/>
      </c>
      <c r="AD27">
        <f>HYPERLINK("https://klasma.github.io/Logging_1082/tillsynsmail/A 21811-2023 tillsynsbegäran mail.docx", "A 21811-2023")</f>
        <v/>
      </c>
      <c r="AE27">
        <f>HYPERLINK("https://klasma.github.io/Logging_1082/fåglar/A 21811-2023 prioriterade fågelarter.docx", "A 21811-2023")</f>
        <v/>
      </c>
    </row>
    <row r="28" ht="15" customHeight="1">
      <c r="A28" t="inlineStr">
        <is>
          <t>A 58405-2022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46319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Grönsångare</t>
        </is>
      </c>
      <c r="W28">
        <f>HYPERLINK("https://klasma.github.io/Logging_1082/artfynd/A 58405-2022 artfynd.xlsx", "A 58405-2022")</f>
        <v/>
      </c>
      <c r="X28">
        <f>HYPERLINK("https://klasma.github.io/Logging_1082/kartor/A 58405-2022 karta.png", "A 58405-2022")</f>
        <v/>
      </c>
      <c r="Y28">
        <f>HYPERLINK("https://klasma.github.io/Logging_1082/kartor_geotiff/A 58405-2022 georefererad karta.tif", "A 58405-2022")</f>
        <v/>
      </c>
      <c r="AA28">
        <f>HYPERLINK("https://klasma.github.io/Logging_1082/klagomål/A 58405-2022 FSC-klagomål.docx", "A 58405-2022")</f>
        <v/>
      </c>
      <c r="AB28">
        <f>HYPERLINK("https://klasma.github.io/Logging_1082/klagomålsmail/A 58405-2022 FSC-klagomål mail.docx", "A 58405-2022")</f>
        <v/>
      </c>
      <c r="AC28">
        <f>HYPERLINK("https://klasma.github.io/Logging_1082/tillsyn/A 58405-2022 tillsynsbegäran.docx", "A 58405-2022")</f>
        <v/>
      </c>
      <c r="AD28">
        <f>HYPERLINK("https://klasma.github.io/Logging_1082/tillsynsmail/A 58405-2022 tillsynsbegäran mail.docx", "A 58405-2022")</f>
        <v/>
      </c>
      <c r="AE28">
        <f>HYPERLINK("https://klasma.github.io/Logging_1082/fåglar/A 58405-2022 prioriterade fågelarter.docx", "A 58405-2022")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46319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46319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46319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46319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46319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46319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46319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46319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46319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46319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46319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46319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46319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46319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46319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46319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46319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46319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46319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46319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46319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46319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46319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46319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46319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46319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46319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46319</v>
      </c>
      <c r="F56" t="inlineStr">
        <is>
          <t>BLEKINGE LÄN</t>
        </is>
      </c>
      <c r="G56" t="inlineStr">
        <is>
          <t>KARLSHAMN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17070-2024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45412</v>
      </c>
      <c r="E57" s="1" t="n">
        <v>46319</v>
      </c>
      <c r="F57" t="inlineStr">
        <is>
          <t>BLEKINGE LÄN</t>
        </is>
      </c>
      <c r="G57" t="inlineStr">
        <is>
          <t>KARLSHAMN</t>
        </is>
      </c>
      <c r="H57" t="inlineStr">
        <is>
          <t>Kyrkan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46319</v>
      </c>
      <c r="F58" t="inlineStr">
        <is>
          <t>BLEKINGE LÄN</t>
        </is>
      </c>
      <c r="G58" t="inlineStr">
        <is>
          <t>KARLSHAMN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44983</v>
      </c>
      <c r="E59" s="1" t="n">
        <v>46319</v>
      </c>
      <c r="F59" t="inlineStr">
        <is>
          <t>BLEKINGE LÄN</t>
        </is>
      </c>
      <c r="G59" t="inlineStr">
        <is>
          <t>KARLSHAMN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46319</v>
      </c>
      <c r="F60" t="inlineStr">
        <is>
          <t>BLEKINGE LÄN</t>
        </is>
      </c>
      <c r="G60" t="inlineStr">
        <is>
          <t>KARLSHAMN</t>
        </is>
      </c>
      <c r="H60" t="inlineStr">
        <is>
          <t>Sveaskog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46319</v>
      </c>
      <c r="F61" t="inlineStr">
        <is>
          <t>BLEKINGE LÄN</t>
        </is>
      </c>
      <c r="G61" t="inlineStr">
        <is>
          <t>KARLSHAMN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46319</v>
      </c>
      <c r="F62" t="inlineStr">
        <is>
          <t>BLEKINGE LÄN</t>
        </is>
      </c>
      <c r="G62" t="inlineStr">
        <is>
          <t>KARLSHAMN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46319</v>
      </c>
      <c r="F63" t="inlineStr">
        <is>
          <t>BLEKINGE LÄN</t>
        </is>
      </c>
      <c r="G63" t="inlineStr">
        <is>
          <t>KARLSHAMN</t>
        </is>
      </c>
      <c r="H63" t="inlineStr">
        <is>
          <t>Sveaskog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46319</v>
      </c>
      <c r="F64" t="inlineStr">
        <is>
          <t>BLEKINGE LÄN</t>
        </is>
      </c>
      <c r="G64" t="inlineStr">
        <is>
          <t>KARLSHAMN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46319</v>
      </c>
      <c r="F65" t="inlineStr">
        <is>
          <t>BLEKINGE LÄN</t>
        </is>
      </c>
      <c r="G65" t="inlineStr">
        <is>
          <t>KARLSHAMN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46319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45870</v>
      </c>
      <c r="E67" s="1" t="n">
        <v>46319</v>
      </c>
      <c r="F67" t="inlineStr">
        <is>
          <t>BLEKINGE LÄN</t>
        </is>
      </c>
      <c r="G67" t="inlineStr">
        <is>
          <t>KARLSHAMN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45270</v>
      </c>
      <c r="E68" s="1" t="n">
        <v>46319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46319</v>
      </c>
      <c r="F69" t="inlineStr">
        <is>
          <t>BLEKINGE LÄN</t>
        </is>
      </c>
      <c r="G69" t="inlineStr">
        <is>
          <t>KARLSHAMN</t>
        </is>
      </c>
      <c r="I69" t="n">
        <v>20.9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46319</v>
      </c>
      <c r="F70" t="inlineStr">
        <is>
          <t>BLEKINGE LÄN</t>
        </is>
      </c>
      <c r="G70" t="inlineStr">
        <is>
          <t>KARLSHAMN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45106</v>
      </c>
      <c r="E71" s="1" t="n">
        <v>46319</v>
      </c>
      <c r="F71" t="inlineStr">
        <is>
          <t>BLEKINGE LÄN</t>
        </is>
      </c>
      <c r="G71" t="inlineStr">
        <is>
          <t>KARLSHAMN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43360-2025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46319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46319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23699-2026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46164</v>
      </c>
      <c r="E74" s="1" t="n">
        <v>46319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23710-2026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46164</v>
      </c>
      <c r="E75" s="1" t="n">
        <v>46319</v>
      </c>
      <c r="F75" t="inlineStr">
        <is>
          <t>BLEKINGE LÄN</t>
        </is>
      </c>
      <c r="G75" t="inlineStr">
        <is>
          <t>KARLSHAMN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46319</v>
      </c>
      <c r="F76" t="inlineStr">
        <is>
          <t>BLEKINGE LÄN</t>
        </is>
      </c>
      <c r="G76" t="inlineStr">
        <is>
          <t>KARLSHAMN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17394-2025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45757</v>
      </c>
      <c r="E77" s="1" t="n">
        <v>46319</v>
      </c>
      <c r="F77" t="inlineStr">
        <is>
          <t>BLEKINGE LÄN</t>
        </is>
      </c>
      <c r="G77" t="inlineStr">
        <is>
          <t>KARLSHAMN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46319</v>
      </c>
      <c r="F78" t="inlineStr">
        <is>
          <t>BLEKINGE LÄN</t>
        </is>
      </c>
      <c r="G78" t="inlineStr">
        <is>
          <t>KARLSHAMN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46319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46319</v>
      </c>
      <c r="F80" t="inlineStr">
        <is>
          <t>BLEKINGE LÄN</t>
        </is>
      </c>
      <c r="G80" t="inlineStr">
        <is>
          <t>KARLSHAMN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45114</v>
      </c>
      <c r="E81" s="1" t="n">
        <v>46319</v>
      </c>
      <c r="F81" t="inlineStr">
        <is>
          <t>BLEKINGE LÄN</t>
        </is>
      </c>
      <c r="G81" t="inlineStr">
        <is>
          <t>KARLSHAMN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44568</v>
      </c>
      <c r="E82" s="1" t="n">
        <v>46319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45114</v>
      </c>
      <c r="E83" s="1" t="n">
        <v>46319</v>
      </c>
      <c r="F83" t="inlineStr">
        <is>
          <t>BLEKINGE LÄN</t>
        </is>
      </c>
      <c r="G83" t="inlineStr">
        <is>
          <t>KARLSHAMN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46319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46319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46319</v>
      </c>
      <c r="F86" t="inlineStr">
        <is>
          <t>BLEKINGE LÄN</t>
        </is>
      </c>
      <c r="G86" t="inlineStr">
        <is>
          <t>KARLSHAMN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46319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46319</v>
      </c>
      <c r="F88" t="inlineStr">
        <is>
          <t>BLEKINGE LÄN</t>
        </is>
      </c>
      <c r="G88" t="inlineStr">
        <is>
          <t>KARLSHAMN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46319</v>
      </c>
      <c r="F89" t="inlineStr">
        <is>
          <t>BLEKINGE LÄN</t>
        </is>
      </c>
      <c r="G89" t="inlineStr">
        <is>
          <t>KARLSHAMN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46319</v>
      </c>
      <c r="F90" t="inlineStr">
        <is>
          <t>BLEKINGE LÄN</t>
        </is>
      </c>
      <c r="G90" t="inlineStr">
        <is>
          <t>KARLSHAMN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46319</v>
      </c>
      <c r="F91" t="inlineStr">
        <is>
          <t>BLEKINGE LÄN</t>
        </is>
      </c>
      <c r="G91" t="inlineStr">
        <is>
          <t>KARLSHAMN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46319</v>
      </c>
      <c r="F92" t="inlineStr">
        <is>
          <t>BLEKINGE LÄN</t>
        </is>
      </c>
      <c r="G92" t="inlineStr">
        <is>
          <t>KARLSHAMN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46319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45376</v>
      </c>
      <c r="E94" s="1" t="n">
        <v>46319</v>
      </c>
      <c r="F94" t="inlineStr">
        <is>
          <t>BLEKINGE LÄN</t>
        </is>
      </c>
      <c r="G94" t="inlineStr">
        <is>
          <t>KARLSHAMN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46319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46319</v>
      </c>
      <c r="F96" t="inlineStr">
        <is>
          <t>BLEKINGE LÄN</t>
        </is>
      </c>
      <c r="G96" t="inlineStr">
        <is>
          <t>KARLSHAMN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46319</v>
      </c>
      <c r="F97" t="inlineStr">
        <is>
          <t>BLEKINGE LÄN</t>
        </is>
      </c>
      <c r="G97" t="inlineStr">
        <is>
          <t>KARLSHAMN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46319</v>
      </c>
      <c r="F98" t="inlineStr">
        <is>
          <t>BLEKINGE LÄN</t>
        </is>
      </c>
      <c r="G98" t="inlineStr">
        <is>
          <t>KARLSHAMN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46319</v>
      </c>
      <c r="F99" t="inlineStr">
        <is>
          <t>BLEKINGE LÄN</t>
        </is>
      </c>
      <c r="G99" t="inlineStr">
        <is>
          <t>KARLSHAMN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45550</v>
      </c>
      <c r="E100" s="1" t="n">
        <v>46319</v>
      </c>
      <c r="F100" t="inlineStr">
        <is>
          <t>BLEKINGE LÄN</t>
        </is>
      </c>
      <c r="G100" t="inlineStr">
        <is>
          <t>KARLSHAMN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46319</v>
      </c>
      <c r="F101" t="inlineStr">
        <is>
          <t>BLEKINGE LÄN</t>
        </is>
      </c>
      <c r="G101" t="inlineStr">
        <is>
          <t>KARLSHAMN</t>
        </is>
      </c>
      <c r="H101" t="inlineStr">
        <is>
          <t>Övriga Aktiebolag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46319</v>
      </c>
      <c r="F102" t="inlineStr">
        <is>
          <t>BLEKINGE LÄN</t>
        </is>
      </c>
      <c r="G102" t="inlineStr">
        <is>
          <t>KARLSHAMN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46319</v>
      </c>
      <c r="F103" t="inlineStr">
        <is>
          <t>BLEKINGE LÄN</t>
        </is>
      </c>
      <c r="G103" t="inlineStr">
        <is>
          <t>KARLSHAMN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46319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45309</v>
      </c>
      <c r="E105" s="1" t="n">
        <v>46319</v>
      </c>
      <c r="F105" t="inlineStr">
        <is>
          <t>BLEKINGE LÄN</t>
        </is>
      </c>
      <c r="G105" t="inlineStr">
        <is>
          <t>KARLSHAMN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67970-2021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46319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46319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46319</v>
      </c>
      <c r="F108" t="inlineStr">
        <is>
          <t>BLEKINGE LÄN</t>
        </is>
      </c>
      <c r="G108" t="inlineStr">
        <is>
          <t>KARLSHAMN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46319</v>
      </c>
      <c r="F109" t="inlineStr">
        <is>
          <t>BLEKINGE LÄN</t>
        </is>
      </c>
      <c r="G109" t="inlineStr">
        <is>
          <t>KARLSHAMN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46319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46319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46319</v>
      </c>
      <c r="F112" t="inlineStr">
        <is>
          <t>BLEKINGE LÄN</t>
        </is>
      </c>
      <c r="G112" t="inlineStr">
        <is>
          <t>KARLSHAMN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46319</v>
      </c>
      <c r="F113" t="inlineStr">
        <is>
          <t>BLEKINGE LÄN</t>
        </is>
      </c>
      <c r="G113" t="inlineStr">
        <is>
          <t>KARLSHAMN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46319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69976-2021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46319</v>
      </c>
      <c r="F115" t="inlineStr">
        <is>
          <t>BLEKINGE LÄN</t>
        </is>
      </c>
      <c r="G115" t="inlineStr">
        <is>
          <t>KARLSHAMN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46319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46319</v>
      </c>
      <c r="F117" t="inlineStr">
        <is>
          <t>BLEKINGE LÄN</t>
        </is>
      </c>
      <c r="G117" t="inlineStr">
        <is>
          <t>KARLSHAMN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46319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45967</v>
      </c>
      <c r="E119" s="1" t="n">
        <v>46319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46319</v>
      </c>
      <c r="F120" t="inlineStr">
        <is>
          <t>BLEKINGE LÄN</t>
        </is>
      </c>
      <c r="G120" t="inlineStr">
        <is>
          <t>KARLSHAMN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45072</v>
      </c>
      <c r="E121" s="1" t="n">
        <v>46319</v>
      </c>
      <c r="F121" t="inlineStr">
        <is>
          <t>BLEKINGE LÄN</t>
        </is>
      </c>
      <c r="G121" t="inlineStr">
        <is>
          <t>KARLSHAMN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46319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46319</v>
      </c>
      <c r="F123" t="inlineStr">
        <is>
          <t>BLEKINGE LÄN</t>
        </is>
      </c>
      <c r="G123" t="inlineStr">
        <is>
          <t>KARLSHAMN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46319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46202</v>
      </c>
      <c r="E125" s="1" t="n">
        <v>46319</v>
      </c>
      <c r="F125" t="inlineStr">
        <is>
          <t>BLEKINGE LÄN</t>
        </is>
      </c>
      <c r="G125" t="inlineStr">
        <is>
          <t>KARLSHAMN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46319</v>
      </c>
      <c r="F126" t="inlineStr">
        <is>
          <t>BLEKINGE LÄN</t>
        </is>
      </c>
      <c r="G126" t="inlineStr">
        <is>
          <t>KARLSHAMN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46319</v>
      </c>
      <c r="F127" t="inlineStr">
        <is>
          <t>BLEKINGE LÄN</t>
        </is>
      </c>
      <c r="G127" t="inlineStr">
        <is>
          <t>KARLSHAMN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46319</v>
      </c>
      <c r="F128" t="inlineStr">
        <is>
          <t>BLEKINGE LÄN</t>
        </is>
      </c>
      <c r="G128" t="inlineStr">
        <is>
          <t>KARLSHAMN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46319</v>
      </c>
      <c r="F129" t="inlineStr">
        <is>
          <t>BLEKINGE LÄN</t>
        </is>
      </c>
      <c r="G129" t="inlineStr">
        <is>
          <t>KARLSHAMN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46319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46319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46319</v>
      </c>
      <c r="F132" t="inlineStr">
        <is>
          <t>BLEKINGE LÄN</t>
        </is>
      </c>
      <c r="G132" t="inlineStr">
        <is>
          <t>KARLSHAMN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46319</v>
      </c>
      <c r="F133" t="inlineStr">
        <is>
          <t>BLEKINGE LÄN</t>
        </is>
      </c>
      <c r="G133" t="inlineStr">
        <is>
          <t>KARLSHAMN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46319</v>
      </c>
      <c r="F134" t="inlineStr">
        <is>
          <t>BLEKINGE LÄN</t>
        </is>
      </c>
      <c r="G134" t="inlineStr">
        <is>
          <t>KARLSHAMN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46319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46319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46319</v>
      </c>
      <c r="F137" t="inlineStr">
        <is>
          <t>BLEKINGE LÄN</t>
        </is>
      </c>
      <c r="G137" t="inlineStr">
        <is>
          <t>KARLSHAMN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46319</v>
      </c>
      <c r="F138" t="inlineStr">
        <is>
          <t>BLEKINGE LÄN</t>
        </is>
      </c>
      <c r="G138" t="inlineStr">
        <is>
          <t>KARLSHAMN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46319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46319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45519</v>
      </c>
      <c r="E141" s="1" t="n">
        <v>46319</v>
      </c>
      <c r="F141" t="inlineStr">
        <is>
          <t>BLEKINGE LÄN</t>
        </is>
      </c>
      <c r="G141" t="inlineStr">
        <is>
          <t>KARLSHAMN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46319</v>
      </c>
      <c r="F142" t="inlineStr">
        <is>
          <t>BLEKINGE LÄN</t>
        </is>
      </c>
      <c r="G142" t="inlineStr">
        <is>
          <t>KARLSHAMN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46319</v>
      </c>
      <c r="F143" t="inlineStr">
        <is>
          <t>BLEKINGE LÄN</t>
        </is>
      </c>
      <c r="G143" t="inlineStr">
        <is>
          <t>KARLSHAMN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46319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46319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46319</v>
      </c>
      <c r="F146" t="inlineStr">
        <is>
          <t>BLEKINGE LÄN</t>
        </is>
      </c>
      <c r="G146" t="inlineStr">
        <is>
          <t>KARLSHAMN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46319</v>
      </c>
      <c r="F147" t="inlineStr">
        <is>
          <t>BLEKINGE LÄN</t>
        </is>
      </c>
      <c r="G147" t="inlineStr">
        <is>
          <t>KARLSHAMN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46319</v>
      </c>
      <c r="F148" t="inlineStr">
        <is>
          <t>BLEKINGE LÄN</t>
        </is>
      </c>
      <c r="G148" t="inlineStr">
        <is>
          <t>KARLSHAMN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46319</v>
      </c>
      <c r="F149" t="inlineStr">
        <is>
          <t>BLEKINGE LÄN</t>
        </is>
      </c>
      <c r="G149" t="inlineStr">
        <is>
          <t>KARLSHAMN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46319</v>
      </c>
      <c r="F150" t="inlineStr">
        <is>
          <t>BLEKINGE LÄN</t>
        </is>
      </c>
      <c r="G150" t="inlineStr">
        <is>
          <t>KARLSHAMN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46319</v>
      </c>
      <c r="F151" t="inlineStr">
        <is>
          <t>BLEKINGE LÄN</t>
        </is>
      </c>
      <c r="G151" t="inlineStr">
        <is>
          <t>KARLSHAMN</t>
        </is>
      </c>
      <c r="I151" t="n">
        <v>11.4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46319</v>
      </c>
      <c r="F152" t="inlineStr">
        <is>
          <t>BLEKINGE LÄN</t>
        </is>
      </c>
      <c r="G152" t="inlineStr">
        <is>
          <t>KARLSHAMN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46319</v>
      </c>
      <c r="F153" t="inlineStr">
        <is>
          <t>BLEKINGE LÄN</t>
        </is>
      </c>
      <c r="G153" t="inlineStr">
        <is>
          <t>KARLSHAMN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46319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46319</v>
      </c>
      <c r="F155" t="inlineStr">
        <is>
          <t>BLEKINGE LÄN</t>
        </is>
      </c>
      <c r="G155" t="inlineStr">
        <is>
          <t>KARLSHAMN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46319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46319</v>
      </c>
      <c r="F157" t="inlineStr">
        <is>
          <t>BLEKINGE LÄN</t>
        </is>
      </c>
      <c r="G157" t="inlineStr">
        <is>
          <t>KARLSHAMN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46319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46319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46319</v>
      </c>
      <c r="F160" t="inlineStr">
        <is>
          <t>BLEKINGE LÄN</t>
        </is>
      </c>
      <c r="G160" t="inlineStr">
        <is>
          <t>KARLSHAMN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46294</v>
      </c>
      <c r="E161" s="1" t="n">
        <v>46319</v>
      </c>
      <c r="F161" t="inlineStr">
        <is>
          <t>BLEKINGE LÄN</t>
        </is>
      </c>
      <c r="G161" t="inlineStr">
        <is>
          <t>KARLSHAMN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46319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46319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46319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46319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46319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46319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46319</v>
      </c>
      <c r="F168" t="inlineStr">
        <is>
          <t>BLEKINGE LÄN</t>
        </is>
      </c>
      <c r="G168" t="inlineStr">
        <is>
          <t>KARLSHAMN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46319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46319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46294</v>
      </c>
      <c r="E171" s="1" t="n">
        <v>46319</v>
      </c>
      <c r="F171" t="inlineStr">
        <is>
          <t>BLEKINGE LÄN</t>
        </is>
      </c>
      <c r="G171" t="inlineStr">
        <is>
          <t>KARLSHAMN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46319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46319</v>
      </c>
      <c r="F173" t="inlineStr">
        <is>
          <t>BLEKINGE LÄN</t>
        </is>
      </c>
      <c r="G173" t="inlineStr">
        <is>
          <t>KARLSHAMN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46319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46319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46319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46319</v>
      </c>
      <c r="F177" t="inlineStr">
        <is>
          <t>BLEKINGE LÄN</t>
        </is>
      </c>
      <c r="G177" t="inlineStr">
        <is>
          <t>KARLSHAMN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46254</v>
      </c>
      <c r="E178" s="1" t="n">
        <v>46319</v>
      </c>
      <c r="F178" t="inlineStr">
        <is>
          <t>BLEKINGE LÄN</t>
        </is>
      </c>
      <c r="G178" t="inlineStr">
        <is>
          <t>KARLSHAMN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46319</v>
      </c>
      <c r="F179" t="inlineStr">
        <is>
          <t>BLEKINGE LÄN</t>
        </is>
      </c>
      <c r="G179" t="inlineStr">
        <is>
          <t>KARLSHAMN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46097</v>
      </c>
      <c r="E180" s="1" t="n">
        <v>46319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46319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46319</v>
      </c>
      <c r="F182" t="inlineStr">
        <is>
          <t>BLEKINGE LÄN</t>
        </is>
      </c>
      <c r="G182" t="inlineStr">
        <is>
          <t>KARLSHAMN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46319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46319</v>
      </c>
      <c r="F184" t="inlineStr">
        <is>
          <t>BLEKINGE LÄN</t>
        </is>
      </c>
      <c r="G184" t="inlineStr">
        <is>
          <t>KARLSHAMN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46319</v>
      </c>
      <c r="F185" t="inlineStr">
        <is>
          <t>BLEKINGE LÄN</t>
        </is>
      </c>
      <c r="G185" t="inlineStr">
        <is>
          <t>KARLSHAMN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45719</v>
      </c>
      <c r="E186" s="1" t="n">
        <v>46319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46319</v>
      </c>
      <c r="F187" t="inlineStr">
        <is>
          <t>BLEKINGE LÄN</t>
        </is>
      </c>
      <c r="G187" t="inlineStr">
        <is>
          <t>KARLSHAMN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46319</v>
      </c>
      <c r="F188" t="inlineStr">
        <is>
          <t>BLEKINGE LÄN</t>
        </is>
      </c>
      <c r="G188" t="inlineStr">
        <is>
          <t>KARLSHAMN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46319</v>
      </c>
      <c r="F189" t="inlineStr">
        <is>
          <t>BLEKINGE LÄN</t>
        </is>
      </c>
      <c r="G189" t="inlineStr">
        <is>
          <t>KARLSHAMN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46319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46319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46319</v>
      </c>
      <c r="F192" t="inlineStr">
        <is>
          <t>BLEKINGE LÄN</t>
        </is>
      </c>
      <c r="G192" t="inlineStr">
        <is>
          <t>KARLSHAMN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46319</v>
      </c>
      <c r="F193" t="inlineStr">
        <is>
          <t>BLEKINGE LÄN</t>
        </is>
      </c>
      <c r="G193" t="inlineStr">
        <is>
          <t>KARLSHAMN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46319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46319</v>
      </c>
      <c r="F195" t="inlineStr">
        <is>
          <t>BLEKINGE LÄN</t>
        </is>
      </c>
      <c r="G195" t="inlineStr">
        <is>
          <t>KARLSHAMN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46319</v>
      </c>
      <c r="F196" t="inlineStr">
        <is>
          <t>BLEKINGE LÄN</t>
        </is>
      </c>
      <c r="G196" t="inlineStr">
        <is>
          <t>KARLSHAMN</t>
        </is>
      </c>
      <c r="H196" t="inlineStr">
        <is>
          <t>Övriga Aktiebolag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46319</v>
      </c>
      <c r="F197" t="inlineStr">
        <is>
          <t>BLEKINGE LÄN</t>
        </is>
      </c>
      <c r="G197" t="inlineStr">
        <is>
          <t>KARLSHAMN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46319</v>
      </c>
      <c r="F198" t="inlineStr">
        <is>
          <t>BLEKINGE LÄN</t>
        </is>
      </c>
      <c r="G198" t="inlineStr">
        <is>
          <t>KARLSHAMN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46319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46319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46319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46319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46319</v>
      </c>
      <c r="F203" t="inlineStr">
        <is>
          <t>BLEKINGE LÄN</t>
        </is>
      </c>
      <c r="G203" t="inlineStr">
        <is>
          <t>KARLSHAMN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46261</v>
      </c>
      <c r="E204" s="1" t="n">
        <v>46319</v>
      </c>
      <c r="F204" t="inlineStr">
        <is>
          <t>BLEKINGE LÄN</t>
        </is>
      </c>
      <c r="G204" t="inlineStr">
        <is>
          <t>KARLSHAMN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46319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46319</v>
      </c>
      <c r="F206" t="inlineStr">
        <is>
          <t>BLEKINGE LÄN</t>
        </is>
      </c>
      <c r="G206" t="inlineStr">
        <is>
          <t>KARLSHAMN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46319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46319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46319</v>
      </c>
      <c r="F209" t="inlineStr">
        <is>
          <t>BLEKINGE LÄN</t>
        </is>
      </c>
      <c r="G209" t="inlineStr">
        <is>
          <t>KARLSHAMN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46319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46319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46319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46319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46319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46319</v>
      </c>
      <c r="F215" t="inlineStr">
        <is>
          <t>BLEKINGE LÄN</t>
        </is>
      </c>
      <c r="G215" t="inlineStr">
        <is>
          <t>KARLSHAMN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44586</v>
      </c>
      <c r="E216" s="1" t="n">
        <v>46319</v>
      </c>
      <c r="F216" t="inlineStr">
        <is>
          <t>BLEKINGE LÄN</t>
        </is>
      </c>
      <c r="G216" t="inlineStr">
        <is>
          <t>KARLSHAMN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45351</v>
      </c>
      <c r="E217" s="1" t="n">
        <v>46319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46319</v>
      </c>
      <c r="F218" t="inlineStr">
        <is>
          <t>BLEKINGE LÄN</t>
        </is>
      </c>
      <c r="G218" t="inlineStr">
        <is>
          <t>KARLSHAMN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46319</v>
      </c>
      <c r="F219" t="inlineStr">
        <is>
          <t>BLEKINGE LÄN</t>
        </is>
      </c>
      <c r="G219" t="inlineStr">
        <is>
          <t>KARLSHAMN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46319</v>
      </c>
      <c r="F220" t="inlineStr">
        <is>
          <t>BLEKINGE LÄN</t>
        </is>
      </c>
      <c r="G220" t="inlineStr">
        <is>
          <t>KARLSHAMN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46319</v>
      </c>
      <c r="F221" t="inlineStr">
        <is>
          <t>BLEKINGE LÄN</t>
        </is>
      </c>
      <c r="G221" t="inlineStr">
        <is>
          <t>KARLSHAMN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46319</v>
      </c>
      <c r="F222" t="inlineStr">
        <is>
          <t>BLEKINGE LÄN</t>
        </is>
      </c>
      <c r="G222" t="inlineStr">
        <is>
          <t>KARLSHAMN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46308</v>
      </c>
      <c r="E223" s="1" t="n">
        <v>46319</v>
      </c>
      <c r="F223" t="inlineStr">
        <is>
          <t>BLEKINGE LÄN</t>
        </is>
      </c>
      <c r="G223" t="inlineStr">
        <is>
          <t>KARLSHAMN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46319</v>
      </c>
      <c r="F224" t="inlineStr">
        <is>
          <t>BLEKINGE LÄN</t>
        </is>
      </c>
      <c r="G224" t="inlineStr">
        <is>
          <t>KARLSHAMN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46319</v>
      </c>
      <c r="F225" t="inlineStr">
        <is>
          <t>BLEKINGE LÄN</t>
        </is>
      </c>
      <c r="G225" t="inlineStr">
        <is>
          <t>KARLSHAMN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46319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46319</v>
      </c>
      <c r="F227" t="inlineStr">
        <is>
          <t>BLEKINGE LÄN</t>
        </is>
      </c>
      <c r="G227" t="inlineStr">
        <is>
          <t>KARLSHAMN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45717</v>
      </c>
      <c r="E228" s="1" t="n">
        <v>46319</v>
      </c>
      <c r="F228" t="inlineStr">
        <is>
          <t>BLEKINGE LÄN</t>
        </is>
      </c>
      <c r="G228" t="inlineStr">
        <is>
          <t>KARLSHAMN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46319</v>
      </c>
      <c r="F229" t="inlineStr">
        <is>
          <t>BLEKINGE LÄN</t>
        </is>
      </c>
      <c r="G229" t="inlineStr">
        <is>
          <t>KARLSHAMN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46319</v>
      </c>
      <c r="F230" t="inlineStr">
        <is>
          <t>BLEKINGE LÄN</t>
        </is>
      </c>
      <c r="G230" t="inlineStr">
        <is>
          <t>KARLSHAMN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45151</v>
      </c>
      <c r="E231" s="1" t="n">
        <v>46319</v>
      </c>
      <c r="F231" t="inlineStr">
        <is>
          <t>BLEKINGE LÄN</t>
        </is>
      </c>
      <c r="G231" t="inlineStr">
        <is>
          <t>KARLSHAMN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46319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46319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46266</v>
      </c>
      <c r="E234" s="1" t="n">
        <v>46319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46319</v>
      </c>
      <c r="F235" t="inlineStr">
        <is>
          <t>BLEKINGE LÄN</t>
        </is>
      </c>
      <c r="G235" t="inlineStr">
        <is>
          <t>KARLSHAMN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46319</v>
      </c>
      <c r="F236" t="inlineStr">
        <is>
          <t>BLEKINGE LÄN</t>
        </is>
      </c>
      <c r="G236" t="inlineStr">
        <is>
          <t>KARLSHAMN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46319</v>
      </c>
      <c r="F237" t="inlineStr">
        <is>
          <t>BLEKINGE LÄN</t>
        </is>
      </c>
      <c r="G237" t="inlineStr">
        <is>
          <t>KARLSHAMN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46311</v>
      </c>
      <c r="E238" s="1" t="n">
        <v>46319</v>
      </c>
      <c r="F238" t="inlineStr">
        <is>
          <t>BLEKINGE LÄN</t>
        </is>
      </c>
      <c r="G238" t="inlineStr">
        <is>
          <t>KARLSHAMN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46269</v>
      </c>
      <c r="E239" s="1" t="n">
        <v>46319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46319</v>
      </c>
      <c r="F240" t="inlineStr">
        <is>
          <t>BLEKINGE LÄN</t>
        </is>
      </c>
      <c r="G240" t="inlineStr">
        <is>
          <t>KARLSHAMN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46319</v>
      </c>
      <c r="F241" t="inlineStr">
        <is>
          <t>BLEKINGE LÄN</t>
        </is>
      </c>
      <c r="G241" t="inlineStr">
        <is>
          <t>KARLSHAMN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44609</v>
      </c>
      <c r="E242" s="1" t="n">
        <v>46319</v>
      </c>
      <c r="F242" t="inlineStr">
        <is>
          <t>BLEKINGE LÄN</t>
        </is>
      </c>
      <c r="G242" t="inlineStr">
        <is>
          <t>KARLSHAMN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46273</v>
      </c>
      <c r="E243" s="1" t="n">
        <v>46319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46319</v>
      </c>
      <c r="F244" t="inlineStr">
        <is>
          <t>BLEKINGE LÄN</t>
        </is>
      </c>
      <c r="G244" t="inlineStr">
        <is>
          <t>KARLSHAMN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46282</v>
      </c>
      <c r="E245" s="1" t="n">
        <v>46319</v>
      </c>
      <c r="F245" t="inlineStr">
        <is>
          <t>BLEKINGE LÄN</t>
        </is>
      </c>
      <c r="G245" t="inlineStr">
        <is>
          <t>KARLSHAMN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46251</v>
      </c>
      <c r="E246" s="1" t="n">
        <v>46319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46319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46282</v>
      </c>
      <c r="E248" s="1" t="n">
        <v>46319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45550</v>
      </c>
      <c r="E249" s="1" t="n">
        <v>46319</v>
      </c>
      <c r="F249" t="inlineStr">
        <is>
          <t>BLEKINGE LÄN</t>
        </is>
      </c>
      <c r="G249" t="inlineStr">
        <is>
          <t>KARLSHAMN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46308</v>
      </c>
      <c r="E250" s="1" t="n">
        <v>46319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46319</v>
      </c>
      <c r="F251" t="inlineStr">
        <is>
          <t>BLEKINGE LÄN</t>
        </is>
      </c>
      <c r="G251" t="inlineStr">
        <is>
          <t>KARLSHAMN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46319</v>
      </c>
      <c r="F252" t="inlineStr">
        <is>
          <t>BLEKINGE LÄN</t>
        </is>
      </c>
      <c r="G252" t="inlineStr">
        <is>
          <t>KARLSHAMN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46319</v>
      </c>
      <c r="F253" t="inlineStr">
        <is>
          <t>BLEKINGE LÄN</t>
        </is>
      </c>
      <c r="G253" t="inlineStr">
        <is>
          <t>KARLSHAMN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46319</v>
      </c>
      <c r="F254" t="inlineStr">
        <is>
          <t>BLEKINGE LÄN</t>
        </is>
      </c>
      <c r="G254" t="inlineStr">
        <is>
          <t>KARLSHAMN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15444-2022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44660</v>
      </c>
      <c r="E255" s="1" t="n">
        <v>46319</v>
      </c>
      <c r="F255" t="inlineStr">
        <is>
          <t>BLEKINGE LÄN</t>
        </is>
      </c>
      <c r="G255" t="inlineStr">
        <is>
          <t>KARLSHAMN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46319</v>
      </c>
      <c r="F256" t="inlineStr">
        <is>
          <t>BLEKINGE LÄN</t>
        </is>
      </c>
      <c r="G256" t="inlineStr">
        <is>
          <t>KARLSHAMN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46316</v>
      </c>
      <c r="E257" s="1" t="n">
        <v>46319</v>
      </c>
      <c r="F257" t="inlineStr">
        <is>
          <t>BLEKINGE LÄN</t>
        </is>
      </c>
      <c r="G257" t="inlineStr">
        <is>
          <t>KARLSHAMN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46319</v>
      </c>
      <c r="F258" t="inlineStr">
        <is>
          <t>BLEKINGE LÄN</t>
        </is>
      </c>
      <c r="G258" t="inlineStr">
        <is>
          <t>KARLSHAMN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46319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46319</v>
      </c>
      <c r="F260" t="inlineStr">
        <is>
          <t>BLEKINGE LÄN</t>
        </is>
      </c>
      <c r="G260" t="inlineStr">
        <is>
          <t>KARLSHAMN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46319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46319</v>
      </c>
      <c r="F262" t="inlineStr">
        <is>
          <t>BLEKINGE LÄN</t>
        </is>
      </c>
      <c r="G262" t="inlineStr">
        <is>
          <t>KARLSHAMN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46319</v>
      </c>
      <c r="F263" t="inlineStr">
        <is>
          <t>BLEKINGE LÄN</t>
        </is>
      </c>
      <c r="G263" t="inlineStr">
        <is>
          <t>KARLSHAMN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46319</v>
      </c>
      <c r="F264" t="inlineStr">
        <is>
          <t>BLEKINGE LÄN</t>
        </is>
      </c>
      <c r="G264" t="inlineStr">
        <is>
          <t>KARLSHAMN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46319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46319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46319</v>
      </c>
      <c r="F267" t="inlineStr">
        <is>
          <t>BLEKINGE LÄN</t>
        </is>
      </c>
      <c r="G267" t="inlineStr">
        <is>
          <t>KARLSHAMN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46319</v>
      </c>
      <c r="F268" t="inlineStr">
        <is>
          <t>BLEKINGE LÄN</t>
        </is>
      </c>
      <c r="G268" t="inlineStr">
        <is>
          <t>KARLSHAMN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46319</v>
      </c>
      <c r="F269" t="inlineStr">
        <is>
          <t>BLEKINGE LÄN</t>
        </is>
      </c>
      <c r="G269" t="inlineStr">
        <is>
          <t>KARLSHAMN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45307</v>
      </c>
      <c r="E270" s="1" t="n">
        <v>46319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46319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46319</v>
      </c>
      <c r="F272" t="inlineStr">
        <is>
          <t>BLEKINGE LÄN</t>
        </is>
      </c>
      <c r="G272" t="inlineStr">
        <is>
          <t>KARLSHAMN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46319</v>
      </c>
      <c r="F273" t="inlineStr">
        <is>
          <t>BLEKINGE LÄN</t>
        </is>
      </c>
      <c r="G273" t="inlineStr">
        <is>
          <t>KARLSHAMN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46319</v>
      </c>
      <c r="F274" t="inlineStr">
        <is>
          <t>BLEKINGE LÄN</t>
        </is>
      </c>
      <c r="G274" t="inlineStr">
        <is>
          <t>KARLSHAMN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46319</v>
      </c>
      <c r="F275" t="inlineStr">
        <is>
          <t>BLEKINGE LÄN</t>
        </is>
      </c>
      <c r="G275" t="inlineStr">
        <is>
          <t>KARLSHAMN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46319</v>
      </c>
      <c r="F276" t="inlineStr">
        <is>
          <t>BLEKINGE LÄN</t>
        </is>
      </c>
      <c r="G276" t="inlineStr">
        <is>
          <t>KARLSHAMN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46319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46319</v>
      </c>
      <c r="F278" t="inlineStr">
        <is>
          <t>BLEKINGE LÄN</t>
        </is>
      </c>
      <c r="G278" t="inlineStr">
        <is>
          <t>KARLSHAMN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46319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44649</v>
      </c>
      <c r="E280" s="1" t="n">
        <v>46319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46319</v>
      </c>
      <c r="F281" t="inlineStr">
        <is>
          <t>BLEKINGE LÄN</t>
        </is>
      </c>
      <c r="G281" t="inlineStr">
        <is>
          <t>KARLSHAMN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46319</v>
      </c>
      <c r="F282" t="inlineStr">
        <is>
          <t>BLEKINGE LÄN</t>
        </is>
      </c>
      <c r="G282" t="inlineStr">
        <is>
          <t>KARLSHAMN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46319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46319</v>
      </c>
      <c r="F284" t="inlineStr">
        <is>
          <t>BLEKINGE LÄN</t>
        </is>
      </c>
      <c r="G284" t="inlineStr">
        <is>
          <t>KARLSHAMN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46319</v>
      </c>
      <c r="F285" t="inlineStr">
        <is>
          <t>BLEKINGE LÄN</t>
        </is>
      </c>
      <c r="G285" t="inlineStr">
        <is>
          <t>KARLSHAMN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46319</v>
      </c>
      <c r="F286" t="inlineStr">
        <is>
          <t>BLEKINGE LÄN</t>
        </is>
      </c>
      <c r="G286" t="inlineStr">
        <is>
          <t>KARLSHAMN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46319</v>
      </c>
      <c r="F287" t="inlineStr">
        <is>
          <t>BLEKINGE LÄN</t>
        </is>
      </c>
      <c r="G287" t="inlineStr">
        <is>
          <t>KARLSHAMN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40569-2022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44823</v>
      </c>
      <c r="E288" s="1" t="n">
        <v>46319</v>
      </c>
      <c r="F288" t="inlineStr">
        <is>
          <t>BLEKINGE LÄN</t>
        </is>
      </c>
      <c r="G288" t="inlineStr">
        <is>
          <t>KARLSHAMN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44827</v>
      </c>
      <c r="E289" s="1" t="n">
        <v>46319</v>
      </c>
      <c r="F289" t="inlineStr">
        <is>
          <t>BLEKINGE LÄN</t>
        </is>
      </c>
      <c r="G289" t="inlineStr">
        <is>
          <t>KARLSHAMN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45687</v>
      </c>
      <c r="E290" s="1" t="n">
        <v>46319</v>
      </c>
      <c r="F290" t="inlineStr">
        <is>
          <t>BLEKINGE LÄN</t>
        </is>
      </c>
      <c r="G290" t="inlineStr">
        <is>
          <t>KARLSHAMN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46319</v>
      </c>
      <c r="F291" t="inlineStr">
        <is>
          <t>BLEKINGE LÄN</t>
        </is>
      </c>
      <c r="G291" t="inlineStr">
        <is>
          <t>KARLSHAMN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46319</v>
      </c>
      <c r="F292" t="inlineStr">
        <is>
          <t>BLEKINGE LÄN</t>
        </is>
      </c>
      <c r="G292" t="inlineStr">
        <is>
          <t>KARLSHAMN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46319</v>
      </c>
      <c r="F293" t="inlineStr">
        <is>
          <t>BLEKINGE LÄN</t>
        </is>
      </c>
      <c r="G293" t="inlineStr">
        <is>
          <t>KARLSHAMN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46319</v>
      </c>
      <c r="F294" t="inlineStr">
        <is>
          <t>BLEKINGE LÄN</t>
        </is>
      </c>
      <c r="G294" t="inlineStr">
        <is>
          <t>KARLSHAMN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46319</v>
      </c>
      <c r="F295" t="inlineStr">
        <is>
          <t>BLEKINGE LÄN</t>
        </is>
      </c>
      <c r="G295" t="inlineStr">
        <is>
          <t>KARLSHAMN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46319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44924</v>
      </c>
      <c r="E297" s="1" t="n">
        <v>46319</v>
      </c>
      <c r="F297" t="inlineStr">
        <is>
          <t>BLEKINGE LÄN</t>
        </is>
      </c>
      <c r="G297" t="inlineStr">
        <is>
          <t>KARLSHAMN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46319</v>
      </c>
      <c r="F298" t="inlineStr">
        <is>
          <t>BLEKINGE LÄN</t>
        </is>
      </c>
      <c r="G298" t="inlineStr">
        <is>
          <t>KARLSHAMN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46319</v>
      </c>
      <c r="F299" t="inlineStr">
        <is>
          <t>BLEKINGE LÄN</t>
        </is>
      </c>
      <c r="G299" t="inlineStr">
        <is>
          <t>KARLSHAMN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46319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46319</v>
      </c>
      <c r="F301" t="inlineStr">
        <is>
          <t>BLEKINGE LÄN</t>
        </is>
      </c>
      <c r="G301" t="inlineStr">
        <is>
          <t>KARLSHAMN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46319</v>
      </c>
      <c r="F302" t="inlineStr">
        <is>
          <t>BLEKINGE LÄN</t>
        </is>
      </c>
      <c r="G302" t="inlineStr">
        <is>
          <t>KARLSHAMN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46319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46319</v>
      </c>
      <c r="F304" t="inlineStr">
        <is>
          <t>BLEKINGE LÄN</t>
        </is>
      </c>
      <c r="G304" t="inlineStr">
        <is>
          <t>KARLSHAMN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45236</v>
      </c>
      <c r="E305" s="1" t="n">
        <v>46319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46319</v>
      </c>
      <c r="F306" t="inlineStr">
        <is>
          <t>BLEKINGE LÄN</t>
        </is>
      </c>
      <c r="G306" t="inlineStr">
        <is>
          <t>KARLSHAMN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46319</v>
      </c>
      <c r="F307" t="inlineStr">
        <is>
          <t>BLEKINGE LÄN</t>
        </is>
      </c>
      <c r="G307" t="inlineStr">
        <is>
          <t>KARLSHAMN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46319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66267-2021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46319</v>
      </c>
      <c r="F309" t="inlineStr">
        <is>
          <t>BLEKINGE LÄN</t>
        </is>
      </c>
      <c r="G309" t="inlineStr">
        <is>
          <t>KARLSHAMN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46319</v>
      </c>
      <c r="F310" t="inlineStr">
        <is>
          <t>BLEKINGE LÄN</t>
        </is>
      </c>
      <c r="G310" t="inlineStr">
        <is>
          <t>KARLSHAMN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33557-2024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46319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46319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46319</v>
      </c>
      <c r="F313" t="inlineStr">
        <is>
          <t>BLEKINGE LÄN</t>
        </is>
      </c>
      <c r="G313" t="inlineStr">
        <is>
          <t>KARLSHAMN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46319</v>
      </c>
      <c r="F314" t="inlineStr">
        <is>
          <t>BLEKINGE LÄN</t>
        </is>
      </c>
      <c r="G314" t="inlineStr">
        <is>
          <t>KARLSHAMN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46319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46319</v>
      </c>
      <c r="F316" t="inlineStr">
        <is>
          <t>BLEKINGE LÄN</t>
        </is>
      </c>
      <c r="G316" t="inlineStr">
        <is>
          <t>KARLSHAMN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46319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45056</v>
      </c>
      <c r="E318" s="1" t="n">
        <v>46319</v>
      </c>
      <c r="F318" t="inlineStr">
        <is>
          <t>BLEKINGE LÄN</t>
        </is>
      </c>
      <c r="G318" t="inlineStr">
        <is>
          <t>KARLSHAMN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46319</v>
      </c>
      <c r="F319" t="inlineStr">
        <is>
          <t>BLEKINGE LÄN</t>
        </is>
      </c>
      <c r="G319" t="inlineStr">
        <is>
          <t>KARLSHAMN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46319</v>
      </c>
      <c r="F320" t="inlineStr">
        <is>
          <t>BLEKINGE LÄN</t>
        </is>
      </c>
      <c r="G320" t="inlineStr">
        <is>
          <t>KARLSHAMN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46319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46319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46319</v>
      </c>
      <c r="F323" t="inlineStr">
        <is>
          <t>BLEKINGE LÄN</t>
        </is>
      </c>
      <c r="G323" t="inlineStr">
        <is>
          <t>KARLSHAMN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38793-2022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44816</v>
      </c>
      <c r="E324" s="1" t="n">
        <v>46319</v>
      </c>
      <c r="F324" t="inlineStr">
        <is>
          <t>BLEKINGE LÄN</t>
        </is>
      </c>
      <c r="G324" t="inlineStr">
        <is>
          <t>KARLSHAMN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45108</v>
      </c>
      <c r="E325" s="1" t="n">
        <v>46319</v>
      </c>
      <c r="F325" t="inlineStr">
        <is>
          <t>BLEKINGE LÄN</t>
        </is>
      </c>
      <c r="G325" t="inlineStr">
        <is>
          <t>KARLSHAMN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45114</v>
      </c>
      <c r="E326" s="1" t="n">
        <v>46319</v>
      </c>
      <c r="F326" t="inlineStr">
        <is>
          <t>BLEKINGE LÄN</t>
        </is>
      </c>
      <c r="G326" t="inlineStr">
        <is>
          <t>KARLSHAMN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46319</v>
      </c>
      <c r="F327" t="inlineStr">
        <is>
          <t>BLEKINGE LÄN</t>
        </is>
      </c>
      <c r="G327" t="inlineStr">
        <is>
          <t>KARLSHAMN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44568</v>
      </c>
      <c r="E328" s="1" t="n">
        <v>46319</v>
      </c>
      <c r="F328" t="inlineStr">
        <is>
          <t>BLEKINGE LÄN</t>
        </is>
      </c>
      <c r="G328" t="inlineStr">
        <is>
          <t>KARLSHAMN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46319</v>
      </c>
      <c r="F329" t="inlineStr">
        <is>
          <t>BLEKINGE LÄN</t>
        </is>
      </c>
      <c r="G329" t="inlineStr">
        <is>
          <t>KARLSHAMN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46319</v>
      </c>
      <c r="F330" t="inlineStr">
        <is>
          <t>BLEKINGE LÄN</t>
        </is>
      </c>
      <c r="G330" t="inlineStr">
        <is>
          <t>KARLSHAMN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44760</v>
      </c>
      <c r="E331" s="1" t="n">
        <v>46319</v>
      </c>
      <c r="F331" t="inlineStr">
        <is>
          <t>BLEKINGE LÄN</t>
        </is>
      </c>
      <c r="G331" t="inlineStr">
        <is>
          <t>KARLSHAMN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45307</v>
      </c>
      <c r="E332" s="1" t="n">
        <v>46319</v>
      </c>
      <c r="F332" t="inlineStr">
        <is>
          <t>BLEKINGE LÄN</t>
        </is>
      </c>
      <c r="G332" t="inlineStr">
        <is>
          <t>KARLSHAMN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44680</v>
      </c>
      <c r="E333" s="1" t="n">
        <v>46319</v>
      </c>
      <c r="F333" t="inlineStr">
        <is>
          <t>BLEKINGE LÄN</t>
        </is>
      </c>
      <c r="G333" t="inlineStr">
        <is>
          <t>KARLSHAMN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45754</v>
      </c>
      <c r="E334" s="1" t="n">
        <v>46319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46319</v>
      </c>
      <c r="F335" t="inlineStr">
        <is>
          <t>BLEKINGE LÄN</t>
        </is>
      </c>
      <c r="G335" t="inlineStr">
        <is>
          <t>KARLSHAMN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46319</v>
      </c>
      <c r="F336" t="inlineStr">
        <is>
          <t>BLEKINGE LÄN</t>
        </is>
      </c>
      <c r="G336" t="inlineStr">
        <is>
          <t>KARLSHAMN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46319</v>
      </c>
      <c r="F337" t="inlineStr">
        <is>
          <t>BLEKINGE LÄN</t>
        </is>
      </c>
      <c r="G337" t="inlineStr">
        <is>
          <t>KARLSHAMN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45439</v>
      </c>
      <c r="E338" s="1" t="n">
        <v>46319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46319</v>
      </c>
      <c r="F339" t="inlineStr">
        <is>
          <t>BLEKINGE LÄN</t>
        </is>
      </c>
      <c r="G339" t="inlineStr">
        <is>
          <t>KARLSHAMN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46319</v>
      </c>
      <c r="F340" t="inlineStr">
        <is>
          <t>BLEKINGE LÄN</t>
        </is>
      </c>
      <c r="G340" t="inlineStr">
        <is>
          <t>KARLSHAMN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45206-2022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46319</v>
      </c>
      <c r="F341" t="inlineStr">
        <is>
          <t>BLEKINGE LÄN</t>
        </is>
      </c>
      <c r="G341" t="inlineStr">
        <is>
          <t>KARLSHAMN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45310</v>
      </c>
      <c r="E342" s="1" t="n">
        <v>46319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45502</v>
      </c>
      <c r="E343" s="1" t="n">
        <v>46319</v>
      </c>
      <c r="F343" t="inlineStr">
        <is>
          <t>BLEKINGE LÄN</t>
        </is>
      </c>
      <c r="G343" t="inlineStr">
        <is>
          <t>KARLSHAMN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46319</v>
      </c>
      <c r="F344" t="inlineStr">
        <is>
          <t>BLEKINGE LÄN</t>
        </is>
      </c>
      <c r="G344" t="inlineStr">
        <is>
          <t>KARLSHAMN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46319</v>
      </c>
      <c r="F345" t="inlineStr">
        <is>
          <t>BLEKINGE LÄN</t>
        </is>
      </c>
      <c r="G345" t="inlineStr">
        <is>
          <t>KARLSHAMN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46319</v>
      </c>
      <c r="F346" t="inlineStr">
        <is>
          <t>BLEKINGE LÄN</t>
        </is>
      </c>
      <c r="G346" t="inlineStr">
        <is>
          <t>KARLSHAMN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46319</v>
      </c>
      <c r="F347" t="inlineStr">
        <is>
          <t>BLEKINGE LÄN</t>
        </is>
      </c>
      <c r="G347" t="inlineStr">
        <is>
          <t>KARLSHAMN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45565</v>
      </c>
      <c r="E348" s="1" t="n">
        <v>46319</v>
      </c>
      <c r="F348" t="inlineStr">
        <is>
          <t>BLEKINGE LÄN</t>
        </is>
      </c>
      <c r="G348" t="inlineStr">
        <is>
          <t>KARLSHAMN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46319</v>
      </c>
      <c r="F349" t="inlineStr">
        <is>
          <t>BLEKINGE LÄN</t>
        </is>
      </c>
      <c r="G349" t="inlineStr">
        <is>
          <t>KARLSHAMN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68958-2021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46319</v>
      </c>
      <c r="F350" t="inlineStr">
        <is>
          <t>BLEKINGE LÄN</t>
        </is>
      </c>
      <c r="G350" t="inlineStr">
        <is>
          <t>KARLSHAMN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46319</v>
      </c>
      <c r="F351" t="inlineStr">
        <is>
          <t>BLEKINGE LÄN</t>
        </is>
      </c>
      <c r="G351" t="inlineStr">
        <is>
          <t>KARLSHAMN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155-2021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44230</v>
      </c>
      <c r="E352" s="1" t="n">
        <v>46319</v>
      </c>
      <c r="F352" t="inlineStr">
        <is>
          <t>BLEKINGE LÄN</t>
        </is>
      </c>
      <c r="G352" t="inlineStr">
        <is>
          <t>KARLSHAMN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1219-2022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44621</v>
      </c>
      <c r="E353" s="1" t="n">
        <v>46319</v>
      </c>
      <c r="F353" t="inlineStr">
        <is>
          <t>BLEKINGE LÄN</t>
        </is>
      </c>
      <c r="G353" t="inlineStr">
        <is>
          <t>KARLSHAMN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2200-2024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45457</v>
      </c>
      <c r="E354" s="1" t="n">
        <v>46319</v>
      </c>
      <c r="F354" t="inlineStr">
        <is>
          <t>BLEKINGE LÄN</t>
        </is>
      </c>
      <c r="G354" t="inlineStr">
        <is>
          <t>KARLSHAMN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384-2023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44959</v>
      </c>
      <c r="E355" s="1" t="n">
        <v>46319</v>
      </c>
      <c r="F355" t="inlineStr">
        <is>
          <t>BLEKINGE LÄN</t>
        </is>
      </c>
      <c r="G355" t="inlineStr">
        <is>
          <t>KARLSHAMN</t>
        </is>
      </c>
      <c r="I355" t="n">
        <v>30.3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2201-2024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46319</v>
      </c>
      <c r="F356" t="inlineStr">
        <is>
          <t>BLEKINGE LÄN</t>
        </is>
      </c>
      <c r="G356" t="inlineStr">
        <is>
          <t>KARLSHAMN</t>
        </is>
      </c>
      <c r="I356" t="n">
        <v>17.1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386-2023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46319</v>
      </c>
      <c r="F357" t="inlineStr">
        <is>
          <t>BLEKINGE LÄN</t>
        </is>
      </c>
      <c r="G357" t="inlineStr">
        <is>
          <t>KARLSHAMN</t>
        </is>
      </c>
      <c r="I357" t="n">
        <v>19.3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4616-2024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45602</v>
      </c>
      <c r="E358" s="1" t="n">
        <v>46319</v>
      </c>
      <c r="F358" t="inlineStr">
        <is>
          <t>BLEKINGE LÄN</t>
        </is>
      </c>
      <c r="G358" t="inlineStr">
        <is>
          <t>KARLSHAMN</t>
        </is>
      </c>
      <c r="I358" t="n">
        <v>25.2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4134-2024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45575</v>
      </c>
      <c r="E359" s="1" t="n">
        <v>46319</v>
      </c>
      <c r="F359" t="inlineStr">
        <is>
          <t>BLEKINGE LÄN</t>
        </is>
      </c>
      <c r="G359" t="inlineStr">
        <is>
          <t>KARLSHAMN</t>
        </is>
      </c>
      <c r="I359" t="n">
        <v>43.2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311-2023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46319</v>
      </c>
      <c r="F360" t="inlineStr">
        <is>
          <t>BLEKINGE LÄN</t>
        </is>
      </c>
      <c r="G360" t="inlineStr">
        <is>
          <t>KARLSHAMN</t>
        </is>
      </c>
      <c r="I360" t="n">
        <v>16.8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828-2025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45733</v>
      </c>
      <c r="E361" s="1" t="n">
        <v>46319</v>
      </c>
      <c r="F361" t="inlineStr">
        <is>
          <t>BLEKINGE LÄN</t>
        </is>
      </c>
      <c r="G361" t="inlineStr">
        <is>
          <t>KARLSHAMN</t>
        </is>
      </c>
      <c r="I361" t="n">
        <v>53.6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398-2026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46319</v>
      </c>
      <c r="F362" t="inlineStr">
        <is>
          <t>BLEKINGE LÄN</t>
        </is>
      </c>
      <c r="G362" t="inlineStr">
        <is>
          <t>KARLSHAMN</t>
        </is>
      </c>
      <c r="I362" t="n">
        <v>22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400-2026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46319</v>
      </c>
      <c r="F363" t="inlineStr">
        <is>
          <t>BLEKINGE LÄN</t>
        </is>
      </c>
      <c r="G363" t="inlineStr">
        <is>
          <t>KARLSHAMN</t>
        </is>
      </c>
      <c r="I363" t="n">
        <v>13.4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396-2026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46319</v>
      </c>
      <c r="F364" t="inlineStr">
        <is>
          <t>BLEKINGE LÄN</t>
        </is>
      </c>
      <c r="G364" t="inlineStr">
        <is>
          <t>KARLSHAMN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418-2026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46071</v>
      </c>
      <c r="E365" s="1" t="n">
        <v>46319</v>
      </c>
      <c r="F365" t="inlineStr">
        <is>
          <t>BLEKINGE LÄN</t>
        </is>
      </c>
      <c r="G365" t="inlineStr">
        <is>
          <t>KARLSHAMN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703-2026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46092</v>
      </c>
      <c r="E366" s="1" t="n">
        <v>46319</v>
      </c>
      <c r="F366" t="inlineStr">
        <is>
          <t>BLEKINGE LÄN</t>
        </is>
      </c>
      <c r="G366" t="inlineStr">
        <is>
          <t>KARLSHAMN</t>
        </is>
      </c>
      <c r="I366" t="n">
        <v>49.7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1012-2026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46121</v>
      </c>
      <c r="E367" s="1" t="n">
        <v>46319</v>
      </c>
      <c r="F367" t="inlineStr">
        <is>
          <t>BLEKINGE LÄN</t>
        </is>
      </c>
      <c r="G367" t="inlineStr">
        <is>
          <t>KARLSHAMN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2026-10-24T02:02:16Z</dcterms:created>
  <dcterms:modified xmlns:dcterms="http://purl.org/dc/terms/" xmlns:xsi="http://www.w3.org/2001/XMLSchema-instance" xsi:type="dcterms:W3CDTF">2026-10-24T02:02:16Z</dcterms:modified>
</cp:coreProperties>
</file>