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46300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46300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46300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46300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46300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46300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33549-2023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45118</v>
      </c>
      <c r="E21" s="1" t="n">
        <v>46300</v>
      </c>
      <c r="F21" t="inlineStr">
        <is>
          <t>BLEKINGE LÄN</t>
        </is>
      </c>
      <c r="G21" t="inlineStr">
        <is>
          <t>KARLSHAMN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Fjällsopp</t>
        </is>
      </c>
      <c r="W21">
        <f>HYPERLINK("https://klasma.github.io/Logging_1082/artfynd/A 33549-2023 artfynd.xlsx", "A 33549-2023")</f>
        <v/>
      </c>
      <c r="X21">
        <f>HYPERLINK("https://klasma.github.io/Logging_1082/kartor/A 33549-2023 karta.png", "A 33549-2023")</f>
        <v/>
      </c>
      <c r="Y21">
        <f>HYPERLINK("https://klasma.github.io/Logging_1082/kartor_geotiff/A 33549-2023 georefererad karta.tif", "A 33549-2023")</f>
        <v/>
      </c>
      <c r="AA21">
        <f>HYPERLINK("https://klasma.github.io/Logging_1082/klagomål/A 33549-2023 FSC-klagomål.docx", "A 33549-2023")</f>
        <v/>
      </c>
      <c r="AB21">
        <f>HYPERLINK("https://klasma.github.io/Logging_1082/klagomålsmail/A 33549-2023 FSC-klagomål mail.docx", "A 33549-2023")</f>
        <v/>
      </c>
      <c r="AC21">
        <f>HYPERLINK("https://klasma.github.io/Logging_1082/tillsyn/A 33549-2023 tillsynsbegäran.docx", "A 33549-2023")</f>
        <v/>
      </c>
      <c r="AD21">
        <f>HYPERLINK("https://klasma.github.io/Logging_1082/tillsynsmail/A 33549-2023 tillsynsbegäran mail.docx", "A 33549-2023")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46300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46300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46300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46300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29904-2025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46300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10.1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HYPERLINK("https://klasma.github.io/Logging_1082/artfynd/A 29904-2025 artfynd.xlsx", "A 29904-2025")</f>
        <v/>
      </c>
      <c r="X26">
        <f>HYPERLINK("https://klasma.github.io/Logging_1082/kartor/A 29904-2025 karta.png", "A 29904-2025")</f>
        <v/>
      </c>
      <c r="Y26">
        <f>HYPERLINK("https://klasma.github.io/Logging_1082/kartor_geotiff/A 29904-2025 georefererad karta.tif", "A 29904-2025")</f>
        <v/>
      </c>
      <c r="AA26">
        <f>HYPERLINK("https://klasma.github.io/Logging_1082/klagomål/A 29904-2025 FSC-klagomål.docx", "A 29904-2025")</f>
        <v/>
      </c>
      <c r="AB26">
        <f>HYPERLINK("https://klasma.github.io/Logging_1082/klagomålsmail/A 29904-2025 FSC-klagomål mail.docx", "A 29904-2025")</f>
        <v/>
      </c>
      <c r="AC26">
        <f>HYPERLINK("https://klasma.github.io/Logging_1082/tillsyn/A 29904-2025 tillsynsbegäran.docx", "A 29904-2025")</f>
        <v/>
      </c>
      <c r="AD26">
        <f>HYPERLINK("https://klasma.github.io/Logging_1082/tillsynsmail/A 29904-2025 tillsynsbegäran mail.docx", "A 29904-2025")</f>
        <v/>
      </c>
      <c r="AE26">
        <f>HYPERLINK("https://klasma.github.io/Logging_1082/fåglar/A 29904-2025 prioriterade fågelarter.docx", "A 29904-2025")</f>
        <v/>
      </c>
    </row>
    <row r="27" ht="15" customHeight="1">
      <c r="A27" t="inlineStr">
        <is>
          <t>A 29000-2023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46300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Grönhjon</t>
        </is>
      </c>
      <c r="W27">
        <f>HYPERLINK("https://klasma.github.io/Logging_1082/artfynd/A 29000-2023 artfynd.xlsx", "A 29000-2023")</f>
        <v/>
      </c>
      <c r="X27">
        <f>HYPERLINK("https://klasma.github.io/Logging_1082/kartor/A 29000-2023 karta.png", "A 29000-2023")</f>
        <v/>
      </c>
      <c r="Y27">
        <f>HYPERLINK("https://klasma.github.io/Logging_1082/kartor_geotiff/A 29000-2023 georefererad karta.tif", "A 29000-2023")</f>
        <v/>
      </c>
      <c r="AA27">
        <f>HYPERLINK("https://klasma.github.io/Logging_1082/klagomål/A 29000-2023 FSC-klagomål.docx", "A 29000-2023")</f>
        <v/>
      </c>
      <c r="AB27">
        <f>HYPERLINK("https://klasma.github.io/Logging_1082/klagomålsmail/A 29000-2023 FSC-klagomål mail.docx", "A 29000-2023")</f>
        <v/>
      </c>
      <c r="AC27">
        <f>HYPERLINK("https://klasma.github.io/Logging_1082/tillsyn/A 29000-2023 tillsynsbegäran.docx", "A 29000-2023")</f>
        <v/>
      </c>
      <c r="AD27">
        <f>HYPERLINK("https://klasma.github.io/Logging_1082/tillsynsmail/A 29000-2023 tillsynsbegäran mail.docx", "A 29000-2023")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46300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46300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46300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46300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46300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46300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46300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46300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46300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46300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46300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46300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46300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46300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46300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46300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46300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46300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46300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46300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46300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46300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46300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46300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46300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46300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46300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46300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46300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46300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46300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46300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46300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46300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44743</v>
      </c>
      <c r="E63" s="1" t="n">
        <v>46300</v>
      </c>
      <c r="F63" t="inlineStr">
        <is>
          <t>BLEKINGE LÄN</t>
        </is>
      </c>
      <c r="G63" t="inlineStr">
        <is>
          <t>KARLSHAMN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46300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46300</v>
      </c>
      <c r="F65" t="inlineStr">
        <is>
          <t>BLEKINGE LÄN</t>
        </is>
      </c>
      <c r="G65" t="inlineStr">
        <is>
          <t>KARLSHAMN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46300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46300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46300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46300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45051</v>
      </c>
      <c r="E70" s="1" t="n">
        <v>46300</v>
      </c>
      <c r="F70" t="inlineStr">
        <is>
          <t>BLEKINGE LÄN</t>
        </is>
      </c>
      <c r="G70" t="inlineStr">
        <is>
          <t>KARLSHAMN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46300</v>
      </c>
      <c r="F71" t="inlineStr">
        <is>
          <t>BLEKINGE LÄN</t>
        </is>
      </c>
      <c r="G71" t="inlineStr">
        <is>
          <t>KARLSHAMN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46300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46300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46300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44962</v>
      </c>
      <c r="E75" s="1" t="n">
        <v>46300</v>
      </c>
      <c r="F75" t="inlineStr">
        <is>
          <t>BLEKINGE LÄN</t>
        </is>
      </c>
      <c r="G75" t="inlineStr">
        <is>
          <t>KARLSHAMN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46300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46300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46300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46300</v>
      </c>
      <c r="F79" t="inlineStr">
        <is>
          <t>BLEKINGE LÄN</t>
        </is>
      </c>
      <c r="G79" t="inlineStr">
        <is>
          <t>KARLSHAMN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46300</v>
      </c>
      <c r="F80" t="inlineStr">
        <is>
          <t>BLEKINGE LÄN</t>
        </is>
      </c>
      <c r="G80" t="inlineStr">
        <is>
          <t>KARLSHAMN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46300</v>
      </c>
      <c r="F81" t="inlineStr">
        <is>
          <t>BLEKINGE LÄN</t>
        </is>
      </c>
      <c r="G81" t="inlineStr">
        <is>
          <t>KARLSHAMN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46300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46300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46300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46300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46300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46300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46300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46300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46300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46300</v>
      </c>
      <c r="F91" t="inlineStr">
        <is>
          <t>BLEKINGE LÄN</t>
        </is>
      </c>
      <c r="G91" t="inlineStr">
        <is>
          <t>KARLSHAMN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45870</v>
      </c>
      <c r="E92" s="1" t="n">
        <v>46300</v>
      </c>
      <c r="F92" t="inlineStr">
        <is>
          <t>BLEKINGE LÄN</t>
        </is>
      </c>
      <c r="G92" t="inlineStr">
        <is>
          <t>KARLSHAMN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46300</v>
      </c>
      <c r="F93" t="inlineStr">
        <is>
          <t>BLEKINGE LÄN</t>
        </is>
      </c>
      <c r="G93" t="inlineStr">
        <is>
          <t>KARLSHAMN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46300</v>
      </c>
      <c r="F94" t="inlineStr">
        <is>
          <t>BLEKINGE LÄN</t>
        </is>
      </c>
      <c r="G94" t="inlineStr">
        <is>
          <t>KARLSHAMN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46300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46300</v>
      </c>
      <c r="F96" t="inlineStr">
        <is>
          <t>BLEKINGE LÄN</t>
        </is>
      </c>
      <c r="G96" t="inlineStr">
        <is>
          <t>KARLSHAMN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46300</v>
      </c>
      <c r="F97" t="inlineStr">
        <is>
          <t>BLEKINGE LÄN</t>
        </is>
      </c>
      <c r="G97" t="inlineStr">
        <is>
          <t>KARLSHAMN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46300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46300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46300</v>
      </c>
      <c r="F100" t="inlineStr">
        <is>
          <t>BLEKINGE LÄN</t>
        </is>
      </c>
      <c r="G100" t="inlineStr">
        <is>
          <t>KARLSHAMN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46300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46300</v>
      </c>
      <c r="F102" t="inlineStr">
        <is>
          <t>BLEKINGE LÄN</t>
        </is>
      </c>
      <c r="G102" t="inlineStr">
        <is>
          <t>KARLSHAMN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46300</v>
      </c>
      <c r="F103" t="inlineStr">
        <is>
          <t>BLEKINGE LÄN</t>
        </is>
      </c>
      <c r="G103" t="inlineStr">
        <is>
          <t>KARLSHAMN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45104</v>
      </c>
      <c r="E104" s="1" t="n">
        <v>46300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46300</v>
      </c>
      <c r="F105" t="inlineStr">
        <is>
          <t>BLEKINGE LÄN</t>
        </is>
      </c>
      <c r="G105" t="inlineStr">
        <is>
          <t>KARLSHAMN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46300</v>
      </c>
      <c r="F106" t="inlineStr">
        <is>
          <t>BLEKINGE LÄN</t>
        </is>
      </c>
      <c r="G106" t="inlineStr">
        <is>
          <t>KARLSHAMN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46300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46300</v>
      </c>
      <c r="F108" t="inlineStr">
        <is>
          <t>BLEKINGE LÄN</t>
        </is>
      </c>
      <c r="G108" t="inlineStr">
        <is>
          <t>KARLSHAMN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16897-2023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45028</v>
      </c>
      <c r="E109" s="1" t="n">
        <v>46300</v>
      </c>
      <c r="F109" t="inlineStr">
        <is>
          <t>BLEKINGE LÄN</t>
        </is>
      </c>
      <c r="G109" t="inlineStr">
        <is>
          <t>KARLSHAMN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46300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46300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46300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46300</v>
      </c>
      <c r="F113" t="inlineStr">
        <is>
          <t>BLEKINGE LÄN</t>
        </is>
      </c>
      <c r="G113" t="inlineStr">
        <is>
          <t>KARLSHAMN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46300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46300</v>
      </c>
      <c r="F115" t="inlineStr">
        <is>
          <t>BLEKINGE LÄN</t>
        </is>
      </c>
      <c r="G115" t="inlineStr">
        <is>
          <t>KARLSHAMN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46300</v>
      </c>
      <c r="F116" t="inlineStr">
        <is>
          <t>BLEKINGE LÄN</t>
        </is>
      </c>
      <c r="G116" t="inlineStr">
        <is>
          <t>KARLSHAMN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46300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46300</v>
      </c>
      <c r="F118" t="inlineStr">
        <is>
          <t>BLEKINGE LÄN</t>
        </is>
      </c>
      <c r="G118" t="inlineStr">
        <is>
          <t>KARLSHAMN</t>
        </is>
      </c>
      <c r="H118" t="inlineStr">
        <is>
          <t>Övriga Aktiebolag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46300</v>
      </c>
      <c r="F119" t="inlineStr">
        <is>
          <t>BLEKINGE LÄN</t>
        </is>
      </c>
      <c r="G119" t="inlineStr">
        <is>
          <t>KARLSHAMN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46300</v>
      </c>
      <c r="F120" t="inlineStr">
        <is>
          <t>BLEKINGE LÄN</t>
        </is>
      </c>
      <c r="G120" t="inlineStr">
        <is>
          <t>KARLSHAMN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46300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46300</v>
      </c>
      <c r="F122" t="inlineStr">
        <is>
          <t>BLEKINGE LÄN</t>
        </is>
      </c>
      <c r="G122" t="inlineStr">
        <is>
          <t>KARLSHAMN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46300</v>
      </c>
      <c r="F123" t="inlineStr">
        <is>
          <t>BLEKINGE LÄN</t>
        </is>
      </c>
      <c r="G123" t="inlineStr">
        <is>
          <t>KARLSHAMN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46300</v>
      </c>
      <c r="F124" t="inlineStr">
        <is>
          <t>BLEKINGE LÄN</t>
        </is>
      </c>
      <c r="G124" t="inlineStr">
        <is>
          <t>KARLSHAMN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46300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44983</v>
      </c>
      <c r="E126" s="1" t="n">
        <v>46300</v>
      </c>
      <c r="F126" t="inlineStr">
        <is>
          <t>BLEKINGE LÄN</t>
        </is>
      </c>
      <c r="G126" t="inlineStr">
        <is>
          <t>KARLSHAMN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46300</v>
      </c>
      <c r="F127" t="inlineStr">
        <is>
          <t>BLEKINGE LÄN</t>
        </is>
      </c>
      <c r="G127" t="inlineStr">
        <is>
          <t>KARLSHAMN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46300</v>
      </c>
      <c r="F128" t="inlineStr">
        <is>
          <t>BLEKINGE LÄN</t>
        </is>
      </c>
      <c r="G128" t="inlineStr">
        <is>
          <t>KARLSHAMN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46300</v>
      </c>
      <c r="F129" t="inlineStr">
        <is>
          <t>BLEKINGE LÄN</t>
        </is>
      </c>
      <c r="G129" t="inlineStr">
        <is>
          <t>KARLSHAMN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46300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46300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46300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46300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46300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46300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46300</v>
      </c>
      <c r="F136" t="inlineStr">
        <is>
          <t>BLEKINGE LÄN</t>
        </is>
      </c>
      <c r="G136" t="inlineStr">
        <is>
          <t>KARLSHAMN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46300</v>
      </c>
      <c r="F137" t="inlineStr">
        <is>
          <t>BLEKINGE LÄN</t>
        </is>
      </c>
      <c r="G137" t="inlineStr">
        <is>
          <t>KARLSHAMN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46300</v>
      </c>
      <c r="F138" t="inlineStr">
        <is>
          <t>BLEKINGE LÄN</t>
        </is>
      </c>
      <c r="G138" t="inlineStr">
        <is>
          <t>KARLSHAMN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46300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46097</v>
      </c>
      <c r="E140" s="1" t="n">
        <v>46300</v>
      </c>
      <c r="F140" t="inlineStr">
        <is>
          <t>BLEKINGE LÄN</t>
        </is>
      </c>
      <c r="G140" t="inlineStr">
        <is>
          <t>KARLSHAMN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46300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46300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46300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46300</v>
      </c>
      <c r="F144" t="inlineStr">
        <is>
          <t>BLEKINGE LÄN</t>
        </is>
      </c>
      <c r="G144" t="inlineStr">
        <is>
          <t>KARLSHAMN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46300</v>
      </c>
      <c r="F145" t="inlineStr">
        <is>
          <t>BLEKINGE LÄN</t>
        </is>
      </c>
      <c r="G145" t="inlineStr">
        <is>
          <t>KARLSHAMN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46300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46300</v>
      </c>
      <c r="F147" t="inlineStr">
        <is>
          <t>BLEKINGE LÄN</t>
        </is>
      </c>
      <c r="G147" t="inlineStr">
        <is>
          <t>KARLSHAMN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46300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46300</v>
      </c>
      <c r="F149" t="inlineStr">
        <is>
          <t>BLEKINGE LÄN</t>
        </is>
      </c>
      <c r="G149" t="inlineStr">
        <is>
          <t>KARLSHAMN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46300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46300</v>
      </c>
      <c r="F151" t="inlineStr">
        <is>
          <t>BLEKINGE LÄN</t>
        </is>
      </c>
      <c r="G151" t="inlineStr">
        <is>
          <t>KARLSHAMN</t>
        </is>
      </c>
      <c r="H151" t="inlineStr">
        <is>
          <t>Övriga Aktiebolag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46300</v>
      </c>
      <c r="F152" t="inlineStr">
        <is>
          <t>BLEKINGE LÄN</t>
        </is>
      </c>
      <c r="G152" t="inlineStr">
        <is>
          <t>KARLSHAMN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46300</v>
      </c>
      <c r="F153" t="inlineStr">
        <is>
          <t>BLEKINGE LÄN</t>
        </is>
      </c>
      <c r="G153" t="inlineStr">
        <is>
          <t>KARLSHAMN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46300</v>
      </c>
      <c r="F154" t="inlineStr">
        <is>
          <t>BLEKINGE LÄN</t>
        </is>
      </c>
      <c r="G154" t="inlineStr">
        <is>
          <t>KARLSHAMN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46300</v>
      </c>
      <c r="F155" t="inlineStr">
        <is>
          <t>BLEKINGE LÄN</t>
        </is>
      </c>
      <c r="G155" t="inlineStr">
        <is>
          <t>KARLSHAMN</t>
        </is>
      </c>
      <c r="H155" t="inlineStr">
        <is>
          <t>Kommuner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46300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46300</v>
      </c>
      <c r="F157" t="inlineStr">
        <is>
          <t>BLEKINGE LÄN</t>
        </is>
      </c>
      <c r="G157" t="inlineStr">
        <is>
          <t>KARLSHAMN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45114</v>
      </c>
      <c r="E158" s="1" t="n">
        <v>46300</v>
      </c>
      <c r="F158" t="inlineStr">
        <is>
          <t>BLEKINGE LÄN</t>
        </is>
      </c>
      <c r="G158" t="inlineStr">
        <is>
          <t>KARLSHAMN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46300</v>
      </c>
      <c r="F159" t="inlineStr">
        <is>
          <t>BLEKINGE LÄN</t>
        </is>
      </c>
      <c r="G159" t="inlineStr">
        <is>
          <t>KARLSHAMN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46300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46300</v>
      </c>
      <c r="F161" t="inlineStr">
        <is>
          <t>BLEKINGE LÄN</t>
        </is>
      </c>
      <c r="G161" t="inlineStr">
        <is>
          <t>KARLSHAMN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46300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46300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46300</v>
      </c>
      <c r="F164" t="inlineStr">
        <is>
          <t>BLEKINGE LÄN</t>
        </is>
      </c>
      <c r="G164" t="inlineStr">
        <is>
          <t>KARLSHAMN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46300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46300</v>
      </c>
      <c r="F166" t="inlineStr">
        <is>
          <t>BLEKINGE LÄN</t>
        </is>
      </c>
      <c r="G166" t="inlineStr">
        <is>
          <t>KARLSHAMN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46300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46300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44568</v>
      </c>
      <c r="E169" s="1" t="n">
        <v>46300</v>
      </c>
      <c r="F169" t="inlineStr">
        <is>
          <t>BLEKINGE LÄN</t>
        </is>
      </c>
      <c r="G169" t="inlineStr">
        <is>
          <t>KARLSHAMN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46300</v>
      </c>
      <c r="F170" t="inlineStr">
        <is>
          <t>BLEKINGE LÄN</t>
        </is>
      </c>
      <c r="G170" t="inlineStr">
        <is>
          <t>KARLSHAMN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45732</v>
      </c>
      <c r="E171" s="1" t="n">
        <v>46300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46300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46300</v>
      </c>
      <c r="F173" t="inlineStr">
        <is>
          <t>BLEKINGE LÄN</t>
        </is>
      </c>
      <c r="G173" t="inlineStr">
        <is>
          <t>KARLSHAMN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46300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46300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46300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46300</v>
      </c>
      <c r="F177" t="inlineStr">
        <is>
          <t>BLEKINGE LÄN</t>
        </is>
      </c>
      <c r="G177" t="inlineStr">
        <is>
          <t>KARLSHAMN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46300</v>
      </c>
      <c r="F178" t="inlineStr">
        <is>
          <t>BLEKINGE LÄN</t>
        </is>
      </c>
      <c r="G178" t="inlineStr">
        <is>
          <t>KARLSHAMN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46300</v>
      </c>
      <c r="F179" t="inlineStr">
        <is>
          <t>BLEKINGE LÄN</t>
        </is>
      </c>
      <c r="G179" t="inlineStr">
        <is>
          <t>KARLSHAMN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46300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46300</v>
      </c>
      <c r="F181" t="inlineStr">
        <is>
          <t>BLEKINGE LÄN</t>
        </is>
      </c>
      <c r="G181" t="inlineStr">
        <is>
          <t>KARLSHAMN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46300</v>
      </c>
      <c r="F182" t="inlineStr">
        <is>
          <t>BLEKINGE LÄN</t>
        </is>
      </c>
      <c r="G182" t="inlineStr">
        <is>
          <t>KARLSHAMN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45151</v>
      </c>
      <c r="E183" s="1" t="n">
        <v>46300</v>
      </c>
      <c r="F183" t="inlineStr">
        <is>
          <t>BLEKINGE LÄN</t>
        </is>
      </c>
      <c r="G183" t="inlineStr">
        <is>
          <t>KARLSHAMN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46300</v>
      </c>
      <c r="F184" t="inlineStr">
        <is>
          <t>BLEKINGE LÄN</t>
        </is>
      </c>
      <c r="G184" t="inlineStr">
        <is>
          <t>KARLSHAMN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46300</v>
      </c>
      <c r="F185" t="inlineStr">
        <is>
          <t>BLEKINGE LÄN</t>
        </is>
      </c>
      <c r="G185" t="inlineStr">
        <is>
          <t>KARLSHAMN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46300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46300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44797</v>
      </c>
      <c r="E188" s="1" t="n">
        <v>46300</v>
      </c>
      <c r="F188" t="inlineStr">
        <is>
          <t>BLEKINGE LÄN</t>
        </is>
      </c>
      <c r="G188" t="inlineStr">
        <is>
          <t>KARLSHAMN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46300</v>
      </c>
      <c r="F189" t="inlineStr">
        <is>
          <t>BLEKINGE LÄN</t>
        </is>
      </c>
      <c r="G189" t="inlineStr">
        <is>
          <t>KARLSHAMN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46300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46300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46300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46300</v>
      </c>
      <c r="F193" t="inlineStr">
        <is>
          <t>BLEKINGE LÄN</t>
        </is>
      </c>
      <c r="G193" t="inlineStr">
        <is>
          <t>KARLSHAMN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46300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46300</v>
      </c>
      <c r="F195" t="inlineStr">
        <is>
          <t>BLEKINGE LÄN</t>
        </is>
      </c>
      <c r="G195" t="inlineStr">
        <is>
          <t>KARLSHAMN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46300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46300</v>
      </c>
      <c r="F197" t="inlineStr">
        <is>
          <t>BLEKINGE LÄN</t>
        </is>
      </c>
      <c r="G197" t="inlineStr">
        <is>
          <t>KARLSHAMN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46300</v>
      </c>
      <c r="F198" t="inlineStr">
        <is>
          <t>BLEKINGE LÄN</t>
        </is>
      </c>
      <c r="G198" t="inlineStr">
        <is>
          <t>KARLSHAMN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46300</v>
      </c>
      <c r="F199" t="inlineStr">
        <is>
          <t>BLEKINGE LÄN</t>
        </is>
      </c>
      <c r="G199" t="inlineStr">
        <is>
          <t>KARLSHAMN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46300</v>
      </c>
      <c r="F200" t="inlineStr">
        <is>
          <t>BLEKINGE LÄN</t>
        </is>
      </c>
      <c r="G200" t="inlineStr">
        <is>
          <t>KARLSHAMN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46300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46300</v>
      </c>
      <c r="F202" t="inlineStr">
        <is>
          <t>BLEKINGE LÄN</t>
        </is>
      </c>
      <c r="G202" t="inlineStr">
        <is>
          <t>KARLSHAMN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46300</v>
      </c>
      <c r="F203" t="inlineStr">
        <is>
          <t>BLEKINGE LÄN</t>
        </is>
      </c>
      <c r="G203" t="inlineStr">
        <is>
          <t>KARLSHAMN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46300</v>
      </c>
      <c r="F204" t="inlineStr">
        <is>
          <t>BLEKINGE LÄN</t>
        </is>
      </c>
      <c r="G204" t="inlineStr">
        <is>
          <t>KARLSHAMN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46300</v>
      </c>
      <c r="F205" t="inlineStr">
        <is>
          <t>BLEKINGE LÄN</t>
        </is>
      </c>
      <c r="G205" t="inlineStr">
        <is>
          <t>KARLSHAMN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46300</v>
      </c>
      <c r="F206" t="inlineStr">
        <is>
          <t>BLEKINGE LÄN</t>
        </is>
      </c>
      <c r="G206" t="inlineStr">
        <is>
          <t>KARLSHAMN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45270</v>
      </c>
      <c r="E207" s="1" t="n">
        <v>46300</v>
      </c>
      <c r="F207" t="inlineStr">
        <is>
          <t>BLEKINGE LÄN</t>
        </is>
      </c>
      <c r="G207" t="inlineStr">
        <is>
          <t>KARLSHAMN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45717</v>
      </c>
      <c r="E208" s="1" t="n">
        <v>46300</v>
      </c>
      <c r="F208" t="inlineStr">
        <is>
          <t>BLEKINGE LÄN</t>
        </is>
      </c>
      <c r="G208" t="inlineStr">
        <is>
          <t>KARLSHAMN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46300</v>
      </c>
      <c r="F209" t="inlineStr">
        <is>
          <t>BLEKINGE LÄN</t>
        </is>
      </c>
      <c r="G209" t="inlineStr">
        <is>
          <t>KARLSHAMN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46300</v>
      </c>
      <c r="F210" t="inlineStr">
        <is>
          <t>BLEKINGE LÄN</t>
        </is>
      </c>
      <c r="G210" t="inlineStr">
        <is>
          <t>KARLSHAMN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46300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46300</v>
      </c>
      <c r="F212" t="inlineStr">
        <is>
          <t>BLEKINGE LÄN</t>
        </is>
      </c>
      <c r="G212" t="inlineStr">
        <is>
          <t>KARLSHAMN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46300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46300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46300</v>
      </c>
      <c r="F215" t="inlineStr">
        <is>
          <t>BLEKINGE LÄN</t>
        </is>
      </c>
      <c r="G215" t="inlineStr">
        <is>
          <t>KARLSHAMN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46300</v>
      </c>
      <c r="F216" t="inlineStr">
        <is>
          <t>BLEKINGE LÄN</t>
        </is>
      </c>
      <c r="G216" t="inlineStr">
        <is>
          <t>KARLSHAMN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46300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46300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46300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46300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46300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46300</v>
      </c>
      <c r="F222" t="inlineStr">
        <is>
          <t>BLEKINGE LÄN</t>
        </is>
      </c>
      <c r="G222" t="inlineStr">
        <is>
          <t>KARLSHAMN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46300</v>
      </c>
      <c r="F223" t="inlineStr">
        <is>
          <t>BLEKINGE LÄN</t>
        </is>
      </c>
      <c r="G223" t="inlineStr">
        <is>
          <t>KARLSHAMN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46300</v>
      </c>
      <c r="F224" t="inlineStr">
        <is>
          <t>BLEKINGE LÄN</t>
        </is>
      </c>
      <c r="G224" t="inlineStr">
        <is>
          <t>KARLSHAMN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46300</v>
      </c>
      <c r="F225" t="inlineStr">
        <is>
          <t>BLEKINGE LÄN</t>
        </is>
      </c>
      <c r="G225" t="inlineStr">
        <is>
          <t>KARLSHAMN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46300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66267-2021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46300</v>
      </c>
      <c r="F227" t="inlineStr">
        <is>
          <t>BLEKINGE LÄN</t>
        </is>
      </c>
      <c r="G227" t="inlineStr">
        <is>
          <t>KARLSHAMN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46300</v>
      </c>
      <c r="F228" t="inlineStr">
        <is>
          <t>BLEKINGE LÄN</t>
        </is>
      </c>
      <c r="G228" t="inlineStr">
        <is>
          <t>KARLSHAMN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46161</v>
      </c>
      <c r="E229" s="1" t="n">
        <v>46300</v>
      </c>
      <c r="F229" t="inlineStr">
        <is>
          <t>BLEKINGE LÄN</t>
        </is>
      </c>
      <c r="G229" t="inlineStr">
        <is>
          <t>KARLSHAMN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46300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46300</v>
      </c>
      <c r="F231" t="inlineStr">
        <is>
          <t>BLEKINGE LÄN</t>
        </is>
      </c>
      <c r="G231" t="inlineStr">
        <is>
          <t>KARLSHAMN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46300</v>
      </c>
      <c r="F232" t="inlineStr">
        <is>
          <t>BLEKINGE LÄN</t>
        </is>
      </c>
      <c r="G232" t="inlineStr">
        <is>
          <t>KARLSHAMN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46300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46300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46300</v>
      </c>
      <c r="F235" t="inlineStr">
        <is>
          <t>BLEKINGE LÄN</t>
        </is>
      </c>
      <c r="G235" t="inlineStr">
        <is>
          <t>KARLSHAMN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46300</v>
      </c>
      <c r="F236" t="inlineStr">
        <is>
          <t>BLEKINGE LÄN</t>
        </is>
      </c>
      <c r="G236" t="inlineStr">
        <is>
          <t>KARLSHAMN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46300</v>
      </c>
      <c r="F237" t="inlineStr">
        <is>
          <t>BLEKINGE LÄN</t>
        </is>
      </c>
      <c r="G237" t="inlineStr">
        <is>
          <t>KARLSHAMN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46300</v>
      </c>
      <c r="F238" t="inlineStr">
        <is>
          <t>BLEKINGE LÄN</t>
        </is>
      </c>
      <c r="G238" t="inlineStr">
        <is>
          <t>KARLSHAMN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56489-2021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44480</v>
      </c>
      <c r="E239" s="1" t="n">
        <v>46300</v>
      </c>
      <c r="F239" t="inlineStr">
        <is>
          <t>BLEKINGE LÄN</t>
        </is>
      </c>
      <c r="G239" t="inlineStr">
        <is>
          <t>KARLSHAMN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45757</v>
      </c>
      <c r="E240" s="1" t="n">
        <v>46300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46300</v>
      </c>
      <c r="F241" t="inlineStr">
        <is>
          <t>BLEKINGE LÄN</t>
        </is>
      </c>
      <c r="G241" t="inlineStr">
        <is>
          <t>KARLSHAMN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46300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46300</v>
      </c>
      <c r="F243" t="inlineStr">
        <is>
          <t>BLEKINGE LÄN</t>
        </is>
      </c>
      <c r="G243" t="inlineStr">
        <is>
          <t>KARLSHAMN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46300</v>
      </c>
      <c r="F244" t="inlineStr">
        <is>
          <t>BLEKINGE LÄN</t>
        </is>
      </c>
      <c r="G244" t="inlineStr">
        <is>
          <t>KARLSHAMN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46300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46300</v>
      </c>
      <c r="F246" t="inlineStr">
        <is>
          <t>BLEKINGE LÄN</t>
        </is>
      </c>
      <c r="G246" t="inlineStr">
        <is>
          <t>KARLSHAMN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46300</v>
      </c>
      <c r="F247" t="inlineStr">
        <is>
          <t>BLEKINGE LÄN</t>
        </is>
      </c>
      <c r="G247" t="inlineStr">
        <is>
          <t>KARLSHAMN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46300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44586</v>
      </c>
      <c r="E249" s="1" t="n">
        <v>46300</v>
      </c>
      <c r="F249" t="inlineStr">
        <is>
          <t>BLEKINGE LÄN</t>
        </is>
      </c>
      <c r="G249" t="inlineStr">
        <is>
          <t>KARLSHAMN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44568</v>
      </c>
      <c r="E250" s="1" t="n">
        <v>46300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46300</v>
      </c>
      <c r="F251" t="inlineStr">
        <is>
          <t>BLEKINGE LÄN</t>
        </is>
      </c>
      <c r="G251" t="inlineStr">
        <is>
          <t>KARLSHAMN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46300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46300</v>
      </c>
      <c r="F253" t="inlineStr">
        <is>
          <t>BLEKINGE LÄN</t>
        </is>
      </c>
      <c r="G253" t="inlineStr">
        <is>
          <t>KARLSHAMN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67970-2021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44525</v>
      </c>
      <c r="E254" s="1" t="n">
        <v>46300</v>
      </c>
      <c r="F254" t="inlineStr">
        <is>
          <t>BLEKINGE LÄN</t>
        </is>
      </c>
      <c r="G254" t="inlineStr">
        <is>
          <t>KARLSHAMN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46300</v>
      </c>
      <c r="F255" t="inlineStr">
        <is>
          <t>BLEKINGE LÄN</t>
        </is>
      </c>
      <c r="G255" t="inlineStr">
        <is>
          <t>KARLSHAMN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69511-2021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46300</v>
      </c>
      <c r="F256" t="inlineStr">
        <is>
          <t>BLEKINGE LÄN</t>
        </is>
      </c>
      <c r="G256" t="inlineStr">
        <is>
          <t>KARLSHAMN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46300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46300</v>
      </c>
      <c r="F258" t="inlineStr">
        <is>
          <t>BLEKINGE LÄN</t>
        </is>
      </c>
      <c r="G258" t="inlineStr">
        <is>
          <t>KARLSHAMN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46300</v>
      </c>
      <c r="F259" t="inlineStr">
        <is>
          <t>BLEKINGE LÄN</t>
        </is>
      </c>
      <c r="G259" t="inlineStr">
        <is>
          <t>KARLSHAMN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46300</v>
      </c>
      <c r="F260" t="inlineStr">
        <is>
          <t>BLEKINGE LÄN</t>
        </is>
      </c>
      <c r="G260" t="inlineStr">
        <is>
          <t>KARLSHAMN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46300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44571</v>
      </c>
      <c r="E262" s="1" t="n">
        <v>46300</v>
      </c>
      <c r="F262" t="inlineStr">
        <is>
          <t>BLEKINGE LÄN</t>
        </is>
      </c>
      <c r="G262" t="inlineStr">
        <is>
          <t>KARLSHAMN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46300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45009</v>
      </c>
      <c r="E264" s="1" t="n">
        <v>46300</v>
      </c>
      <c r="F264" t="inlineStr">
        <is>
          <t>BLEKINGE LÄN</t>
        </is>
      </c>
      <c r="G264" t="inlineStr">
        <is>
          <t>KARLSHAMN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45376</v>
      </c>
      <c r="E265" s="1" t="n">
        <v>46300</v>
      </c>
      <c r="F265" t="inlineStr">
        <is>
          <t>BLEKINGE LÄN</t>
        </is>
      </c>
      <c r="G265" t="inlineStr">
        <is>
          <t>KARLSHAMN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46300</v>
      </c>
      <c r="F266" t="inlineStr">
        <is>
          <t>BLEKINGE LÄN</t>
        </is>
      </c>
      <c r="G266" t="inlineStr">
        <is>
          <t>KARLSHAMN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46300</v>
      </c>
      <c r="F267" t="inlineStr">
        <is>
          <t>BLEKINGE LÄN</t>
        </is>
      </c>
      <c r="G267" t="inlineStr">
        <is>
          <t>KARLSHAMN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46300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46300</v>
      </c>
      <c r="F269" t="inlineStr">
        <is>
          <t>BLEKINGE LÄN</t>
        </is>
      </c>
      <c r="G269" t="inlineStr">
        <is>
          <t>KARLSHAMN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46300</v>
      </c>
      <c r="F270" t="inlineStr">
        <is>
          <t>BLEKINGE LÄN</t>
        </is>
      </c>
      <c r="G270" t="inlineStr">
        <is>
          <t>KARLSHAMN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46300</v>
      </c>
      <c r="F271" t="inlineStr">
        <is>
          <t>BLEKINGE LÄN</t>
        </is>
      </c>
      <c r="G271" t="inlineStr">
        <is>
          <t>KARLSHAMN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46300</v>
      </c>
      <c r="F272" t="inlineStr">
        <is>
          <t>BLEKINGE LÄN</t>
        </is>
      </c>
      <c r="G272" t="inlineStr">
        <is>
          <t>KARLSHAMN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46300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46300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46300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46300</v>
      </c>
      <c r="F276" t="inlineStr">
        <is>
          <t>BLEKINGE LÄN</t>
        </is>
      </c>
      <c r="G276" t="inlineStr">
        <is>
          <t>KARLSHAMN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46300</v>
      </c>
      <c r="F277" t="inlineStr">
        <is>
          <t>BLEKINGE LÄN</t>
        </is>
      </c>
      <c r="G277" t="inlineStr">
        <is>
          <t>KARLSHAMN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46300</v>
      </c>
      <c r="F278" t="inlineStr">
        <is>
          <t>BLEKINGE LÄN</t>
        </is>
      </c>
      <c r="G278" t="inlineStr">
        <is>
          <t>KARLSHAMN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46300</v>
      </c>
      <c r="F279" t="inlineStr">
        <is>
          <t>BLEKINGE LÄN</t>
        </is>
      </c>
      <c r="G279" t="inlineStr">
        <is>
          <t>KARLSHAMN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69976-2021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44533</v>
      </c>
      <c r="E280" s="1" t="n">
        <v>46300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46300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46300</v>
      </c>
      <c r="F282" t="inlineStr">
        <is>
          <t>BLEKINGE LÄN</t>
        </is>
      </c>
      <c r="G282" t="inlineStr">
        <is>
          <t>KARLSHAMN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46300</v>
      </c>
      <c r="F283" t="inlineStr">
        <is>
          <t>BLEKINGE LÄN</t>
        </is>
      </c>
      <c r="G283" t="inlineStr">
        <is>
          <t>KARLSHAMN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46300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46300</v>
      </c>
      <c r="F285" t="inlineStr">
        <is>
          <t>BLEKINGE LÄN</t>
        </is>
      </c>
      <c r="G285" t="inlineStr">
        <is>
          <t>KARLSHAMN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46300</v>
      </c>
      <c r="F286" t="inlineStr">
        <is>
          <t>BLEKINGE LÄN</t>
        </is>
      </c>
      <c r="G286" t="inlineStr">
        <is>
          <t>KARLSHAMN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46300</v>
      </c>
      <c r="F287" t="inlineStr">
        <is>
          <t>BLEKINGE LÄN</t>
        </is>
      </c>
      <c r="G287" t="inlineStr">
        <is>
          <t>KARLSHAMN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45502</v>
      </c>
      <c r="E288" s="1" t="n">
        <v>46300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46300</v>
      </c>
      <c r="F289" t="inlineStr">
        <is>
          <t>BLEKINGE LÄN</t>
        </is>
      </c>
      <c r="G289" t="inlineStr">
        <is>
          <t>KARLSHAMN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46300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45138</v>
      </c>
      <c r="E291" s="1" t="n">
        <v>46300</v>
      </c>
      <c r="F291" t="inlineStr">
        <is>
          <t>BLEKINGE LÄN</t>
        </is>
      </c>
      <c r="G291" t="inlineStr">
        <is>
          <t>KARLSHAMN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46300</v>
      </c>
      <c r="F292" t="inlineStr">
        <is>
          <t>BLEKINGE LÄN</t>
        </is>
      </c>
      <c r="G292" t="inlineStr">
        <is>
          <t>KARLSHAMN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68958-2021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44530</v>
      </c>
      <c r="E293" s="1" t="n">
        <v>46300</v>
      </c>
      <c r="F293" t="inlineStr">
        <is>
          <t>BLEKINGE LÄN</t>
        </is>
      </c>
      <c r="G293" t="inlineStr">
        <is>
          <t>KARLSHAMN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46273</v>
      </c>
      <c r="E294" s="1" t="n">
        <v>46300</v>
      </c>
      <c r="F294" t="inlineStr">
        <is>
          <t>BLEKINGE LÄN</t>
        </is>
      </c>
      <c r="G294" t="inlineStr">
        <is>
          <t>KARLSHAMN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46300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46300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46300</v>
      </c>
      <c r="F297" t="inlineStr">
        <is>
          <t>BLEKINGE LÄN</t>
        </is>
      </c>
      <c r="G297" t="inlineStr">
        <is>
          <t>KARLSHAMN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46274</v>
      </c>
      <c r="E298" s="1" t="n">
        <v>46300</v>
      </c>
      <c r="F298" t="inlineStr">
        <is>
          <t>BLEKINGE LÄN</t>
        </is>
      </c>
      <c r="G298" t="inlineStr">
        <is>
          <t>KARLSHAMN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46300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46231</v>
      </c>
      <c r="E300" s="1" t="n">
        <v>46300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46300</v>
      </c>
      <c r="F301" t="inlineStr">
        <is>
          <t>BLEKINGE LÄN</t>
        </is>
      </c>
      <c r="G301" t="inlineStr">
        <is>
          <t>KARLSHAMN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46300</v>
      </c>
      <c r="F302" t="inlineStr">
        <is>
          <t>BLEKINGE LÄN</t>
        </is>
      </c>
      <c r="G302" t="inlineStr">
        <is>
          <t>KARLSHAMN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46237</v>
      </c>
      <c r="E303" s="1" t="n">
        <v>46300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46300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46300</v>
      </c>
      <c r="F305" t="inlineStr">
        <is>
          <t>BLEKINGE LÄN</t>
        </is>
      </c>
      <c r="G305" t="inlineStr">
        <is>
          <t>KARLSHAMN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46300</v>
      </c>
      <c r="F306" t="inlineStr">
        <is>
          <t>BLEKINGE LÄN</t>
        </is>
      </c>
      <c r="G306" t="inlineStr">
        <is>
          <t>KARLSHAMN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46300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46300</v>
      </c>
      <c r="F308" t="inlineStr">
        <is>
          <t>BLEKINGE LÄN</t>
        </is>
      </c>
      <c r="G308" t="inlineStr">
        <is>
          <t>KARLSHAMN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46300</v>
      </c>
      <c r="F309" t="inlineStr">
        <is>
          <t>BLEKINGE LÄN</t>
        </is>
      </c>
      <c r="G309" t="inlineStr">
        <is>
          <t>KARLSHAMN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46300</v>
      </c>
      <c r="F310" t="inlineStr">
        <is>
          <t>BLEKINGE LÄN</t>
        </is>
      </c>
      <c r="G310" t="inlineStr">
        <is>
          <t>KARLSHAMN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45550</v>
      </c>
      <c r="E311" s="1" t="n">
        <v>46300</v>
      </c>
      <c r="F311" t="inlineStr">
        <is>
          <t>BLEKINGE LÄN</t>
        </is>
      </c>
      <c r="G311" t="inlineStr">
        <is>
          <t>KARLSHAMN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46300</v>
      </c>
      <c r="F312" t="inlineStr">
        <is>
          <t>BLEKINGE LÄN</t>
        </is>
      </c>
      <c r="G312" t="inlineStr">
        <is>
          <t>KARLSHAMN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44827</v>
      </c>
      <c r="E313" s="1" t="n">
        <v>46300</v>
      </c>
      <c r="F313" t="inlineStr">
        <is>
          <t>BLEKINGE LÄN</t>
        </is>
      </c>
      <c r="G313" t="inlineStr">
        <is>
          <t>KARLSHAMN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46300</v>
      </c>
      <c r="F314" t="inlineStr">
        <is>
          <t>BLEKINGE LÄN</t>
        </is>
      </c>
      <c r="G314" t="inlineStr">
        <is>
          <t>KARLSHAMN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46300</v>
      </c>
      <c r="F315" t="inlineStr">
        <is>
          <t>BLEKINGE LÄN</t>
        </is>
      </c>
      <c r="G315" t="inlineStr">
        <is>
          <t>KARLSHAMN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45104</v>
      </c>
      <c r="E316" s="1" t="n">
        <v>46300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44823</v>
      </c>
      <c r="E317" s="1" t="n">
        <v>46300</v>
      </c>
      <c r="F317" t="inlineStr">
        <is>
          <t>BLEKINGE LÄN</t>
        </is>
      </c>
      <c r="G317" t="inlineStr">
        <is>
          <t>KARLSHAMN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46300</v>
      </c>
      <c r="F318" t="inlineStr">
        <is>
          <t>BLEKINGE LÄN</t>
        </is>
      </c>
      <c r="G318" t="inlineStr">
        <is>
          <t>KARLSHAMN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44939</v>
      </c>
      <c r="E319" s="1" t="n">
        <v>46300</v>
      </c>
      <c r="F319" t="inlineStr">
        <is>
          <t>BLEKINGE LÄN</t>
        </is>
      </c>
      <c r="G319" t="inlineStr">
        <is>
          <t>KARLSHAMN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46300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44939</v>
      </c>
      <c r="E321" s="1" t="n">
        <v>46300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44760</v>
      </c>
      <c r="E322" s="1" t="n">
        <v>46300</v>
      </c>
      <c r="F322" t="inlineStr">
        <is>
          <t>BLEKINGE LÄN</t>
        </is>
      </c>
      <c r="G322" t="inlineStr">
        <is>
          <t>KARLSHAMN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44952</v>
      </c>
      <c r="E323" s="1" t="n">
        <v>46300</v>
      </c>
      <c r="F323" t="inlineStr">
        <is>
          <t>BLEKINGE LÄN</t>
        </is>
      </c>
      <c r="G323" t="inlineStr">
        <is>
          <t>KARLSHAMN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46300</v>
      </c>
      <c r="F324" t="inlineStr">
        <is>
          <t>BLEKINGE LÄN</t>
        </is>
      </c>
      <c r="G324" t="inlineStr">
        <is>
          <t>KARLSHAMN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46245</v>
      </c>
      <c r="E325" s="1" t="n">
        <v>46300</v>
      </c>
      <c r="F325" t="inlineStr">
        <is>
          <t>BLEKINGE LÄN</t>
        </is>
      </c>
      <c r="G325" t="inlineStr">
        <is>
          <t>KARLSHAMN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46300</v>
      </c>
      <c r="F326" t="inlineStr">
        <is>
          <t>BLEKINGE LÄN</t>
        </is>
      </c>
      <c r="G326" t="inlineStr">
        <is>
          <t>KARLSHAMN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46300</v>
      </c>
      <c r="F327" t="inlineStr">
        <is>
          <t>BLEKINGE LÄN</t>
        </is>
      </c>
      <c r="G327" t="inlineStr">
        <is>
          <t>KARLSHAMN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46300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46300</v>
      </c>
      <c r="F329" t="inlineStr">
        <is>
          <t>BLEKINGE LÄN</t>
        </is>
      </c>
      <c r="G329" t="inlineStr">
        <is>
          <t>KARLSHAMN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44623</v>
      </c>
      <c r="E330" s="1" t="n">
        <v>46300</v>
      </c>
      <c r="F330" t="inlineStr">
        <is>
          <t>BLEKINGE LÄN</t>
        </is>
      </c>
      <c r="G330" t="inlineStr">
        <is>
          <t>KARLSHAMN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46300</v>
      </c>
      <c r="F331" t="inlineStr">
        <is>
          <t>BLEKINGE LÄN</t>
        </is>
      </c>
      <c r="G331" t="inlineStr">
        <is>
          <t>KARLSHAMN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46300</v>
      </c>
      <c r="F332" t="inlineStr">
        <is>
          <t>BLEKINGE LÄN</t>
        </is>
      </c>
      <c r="G332" t="inlineStr">
        <is>
          <t>KARLSHAMN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46300</v>
      </c>
      <c r="F333" t="inlineStr">
        <is>
          <t>BLEKINGE LÄN</t>
        </is>
      </c>
      <c r="G333" t="inlineStr">
        <is>
          <t>KARLSHAMN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46300</v>
      </c>
      <c r="F334" t="inlineStr">
        <is>
          <t>BLEKINGE LÄN</t>
        </is>
      </c>
      <c r="G334" t="inlineStr">
        <is>
          <t>KARLSHAMN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46300</v>
      </c>
      <c r="F335" t="inlineStr">
        <is>
          <t>BLEKINGE LÄN</t>
        </is>
      </c>
      <c r="G335" t="inlineStr">
        <is>
          <t>KARLSHAMN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46300</v>
      </c>
      <c r="F336" t="inlineStr">
        <is>
          <t>BLEKINGE LÄN</t>
        </is>
      </c>
      <c r="G336" t="inlineStr">
        <is>
          <t>KARLSHAMN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46300</v>
      </c>
      <c r="F337" t="inlineStr">
        <is>
          <t>BLEKINGE LÄN</t>
        </is>
      </c>
      <c r="G337" t="inlineStr">
        <is>
          <t>KARLSHAMN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46300</v>
      </c>
      <c r="F338" t="inlineStr">
        <is>
          <t>BLEKINGE LÄN</t>
        </is>
      </c>
      <c r="G338" t="inlineStr">
        <is>
          <t>KARLSHAMN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46300</v>
      </c>
      <c r="F339" t="inlineStr">
        <is>
          <t>BLEKINGE LÄN</t>
        </is>
      </c>
      <c r="G339" t="inlineStr">
        <is>
          <t>KARLSHAMN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45163</v>
      </c>
      <c r="E340" s="1" t="n">
        <v>46300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46300</v>
      </c>
      <c r="F341" t="inlineStr">
        <is>
          <t>BLEKINGE LÄN</t>
        </is>
      </c>
      <c r="G341" t="inlineStr">
        <is>
          <t>KARLSHAMN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46300</v>
      </c>
      <c r="F342" t="inlineStr">
        <is>
          <t>BLEKINGE LÄN</t>
        </is>
      </c>
      <c r="G342" t="inlineStr">
        <is>
          <t>KARLSHAMN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46300</v>
      </c>
      <c r="F343" t="inlineStr">
        <is>
          <t>BLEKINGE LÄN</t>
        </is>
      </c>
      <c r="G343" t="inlineStr">
        <is>
          <t>KARLSHAMN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46300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46300</v>
      </c>
      <c r="F345" t="inlineStr">
        <is>
          <t>BLEKINGE LÄN</t>
        </is>
      </c>
      <c r="G345" t="inlineStr">
        <is>
          <t>KARLSHAMN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46300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46300</v>
      </c>
      <c r="F347" t="inlineStr">
        <is>
          <t>BLEKINGE LÄN</t>
        </is>
      </c>
      <c r="G347" t="inlineStr">
        <is>
          <t>KARLSHAMN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46300</v>
      </c>
      <c r="F348" t="inlineStr">
        <is>
          <t>BLEKINGE LÄN</t>
        </is>
      </c>
      <c r="G348" t="inlineStr">
        <is>
          <t>KARLSHAMN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44660</v>
      </c>
      <c r="E349" s="1" t="n">
        <v>46300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38793-2022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46300</v>
      </c>
      <c r="F350" t="inlineStr">
        <is>
          <t>BLEKINGE LÄN</t>
        </is>
      </c>
      <c r="G350" t="inlineStr">
        <is>
          <t>KARLSHAMN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44728</v>
      </c>
      <c r="E351" s="1" t="n">
        <v>46300</v>
      </c>
      <c r="F351" t="inlineStr">
        <is>
          <t>BLEKINGE LÄN</t>
        </is>
      </c>
      <c r="G351" t="inlineStr">
        <is>
          <t>KARLSHAMN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46300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46300</v>
      </c>
      <c r="F353" t="inlineStr">
        <is>
          <t>BLEKINGE LÄN</t>
        </is>
      </c>
      <c r="G353" t="inlineStr">
        <is>
          <t>KARLSHAMN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44946</v>
      </c>
      <c r="E354" s="1" t="n">
        <v>46300</v>
      </c>
      <c r="F354" t="inlineStr">
        <is>
          <t>BLEKINGE LÄN</t>
        </is>
      </c>
      <c r="G354" t="inlineStr">
        <is>
          <t>KARLSHAMN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46300</v>
      </c>
      <c r="F355" t="inlineStr">
        <is>
          <t>BLEKINGE LÄN</t>
        </is>
      </c>
      <c r="G355" t="inlineStr">
        <is>
          <t>KARLSHAMN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46300</v>
      </c>
      <c r="F356" t="inlineStr">
        <is>
          <t>BLEKINGE LÄN</t>
        </is>
      </c>
      <c r="G356" t="inlineStr">
        <is>
          <t>KARLSHAMN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21399-2025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45782</v>
      </c>
      <c r="E357" s="1" t="n">
        <v>46300</v>
      </c>
      <c r="F357" t="inlineStr">
        <is>
          <t>BLEKINGE LÄN</t>
        </is>
      </c>
      <c r="G357" t="inlineStr">
        <is>
          <t>KARLSHAMN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46300</v>
      </c>
      <c r="F358" t="inlineStr">
        <is>
          <t>BLEKINGE LÄN</t>
        </is>
      </c>
      <c r="G358" t="inlineStr">
        <is>
          <t>KARLSHAMN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46300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46300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46300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46300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46300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46300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46300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46300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46300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46300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46300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46300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46300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46300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46300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46300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46300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2026-10-05T01:51:06Z</dcterms:created>
  <dcterms:modified xmlns:dcterms="http://purl.org/dc/terms/" xmlns:xsi="http://www.w3.org/2001/XMLSchema-instance" xsi:type="dcterms:W3CDTF">2026-10-05T01:51:07Z</dcterms:modified>
</cp:coreProperties>
</file>